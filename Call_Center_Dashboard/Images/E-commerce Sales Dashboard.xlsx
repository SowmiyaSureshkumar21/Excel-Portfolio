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61474316ae338af4/Desktop/e-commerce dashboard/"/>
    </mc:Choice>
  </mc:AlternateContent>
  <xr:revisionPtr revIDLastSave="1" documentId="14_{EF1EAF5B-B081-437F-B810-C9A474151337}" xr6:coauthVersionLast="47" xr6:coauthVersionMax="47" xr10:uidLastSave="{8A0DD3FC-BC3D-4A59-8D3C-5C426E1CC953}"/>
  <bookViews>
    <workbookView xWindow="-108" yWindow="-108" windowWidth="23256" windowHeight="12456" activeTab="4" xr2:uid="{346724B3-1C49-40AE-AA36-C77CF5D6DD09}"/>
  </bookViews>
  <sheets>
    <sheet name="Data" sheetId="1" r:id="rId1"/>
    <sheet name="Questions &amp; KPIs" sheetId="2" r:id="rId2"/>
    <sheet name="Pivots" sheetId="6" r:id="rId3"/>
    <sheet name="How they like to buy" sheetId="7" r:id="rId4"/>
    <sheet name="Dashboard" sheetId="5" r:id="rId5"/>
  </sheets>
  <definedNames>
    <definedName name="_xlchart.v5.0" hidden="1">Pivots!$F$70:$G$70</definedName>
    <definedName name="_xlchart.v5.1" hidden="1">Pivots!$F$71:$G$128</definedName>
    <definedName name="_xlchart.v5.2" hidden="1">Pivots!$H$70</definedName>
    <definedName name="_xlchart.v5.3" hidden="1">Pivots!$H$71:$H$128</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7" l="1"/>
  <c r="K3" i="7"/>
  <c r="L3" i="7"/>
  <c r="M3" i="7"/>
  <c r="I5" i="7"/>
  <c r="J5" i="7"/>
  <c r="K5" i="7"/>
  <c r="L5" i="7"/>
  <c r="M5" i="7"/>
  <c r="I6" i="7"/>
  <c r="J6" i="7"/>
  <c r="K6" i="7"/>
  <c r="L6" i="7"/>
  <c r="M6" i="7"/>
  <c r="I7" i="7"/>
  <c r="J7" i="7"/>
  <c r="K7" i="7"/>
  <c r="L7" i="7"/>
  <c r="M7" i="7"/>
  <c r="I8" i="7"/>
  <c r="J8" i="7"/>
  <c r="K8" i="7"/>
  <c r="L8" i="7"/>
  <c r="M8" i="7"/>
  <c r="J4" i="7"/>
  <c r="K4" i="7"/>
  <c r="L4" i="7"/>
  <c r="M4" i="7"/>
  <c r="I4" i="7"/>
  <c r="M5" i="6" l="1"/>
  <c r="L5" i="6"/>
  <c r="K5" i="6"/>
  <c r="J5" i="6"/>
  <c r="I5" i="6"/>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<sst xmlns="http://schemas.openxmlformats.org/spreadsheetml/2006/main" count="14755" uniqueCount="2556">
  <si>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</si>
  <si>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</si>
  <si>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</si>
  <si>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</si>
  <si>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</si>
  <si>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</si>
  <si>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</si>
  <si>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</si>
  <si>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</si>
  <si>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</si>
  <si>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</si>
  <si>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</si>
  <si>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</si>
  <si>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</si>
  <si>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</si>
  <si>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</si>
  <si>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</si>
  <si>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</si>
  <si>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</si>
  <si>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</si>
  <si>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</si>
  <si>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</si>
  <si>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</si>
  <si>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</si>
  <si>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</si>
  <si>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</si>
  <si>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</si>
  <si>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</si>
  <si>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</si>
  <si>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</si>
  <si>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</si>
  <si>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</si>
  <si>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</si>
  <si>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</si>
  <si>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</si>
  <si>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</si>
  <si>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</si>
  <si>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</si>
  <si>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</si>
  <si>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</si>
  <si>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</si>
  <si>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</si>
  <si>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</si>
  <si>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</si>
  <si>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</si>
  <si>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</si>
  <si>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</si>
  <si>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</si>
  <si>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</si>
  <si>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</si>
  <si>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</si>
  <si>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</si>
  <si>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</si>
  <si>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</si>
  <si>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</si>
  <si>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</si>
  <si>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</si>
  <si>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</si>
  <si>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</si>
  <si>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</si>
  <si>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</si>
  <si>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</si>
  <si>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</si>
  <si>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</si>
  <si>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</si>
  <si>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</si>
  <si>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</si>
  <si>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</si>
  <si>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</si>
  <si>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</si>
  <si>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</si>
  <si>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</si>
  <si>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</si>
  <si>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</si>
  <si>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</si>
  <si>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</si>
  <si>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</si>
  <si>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</si>
  <si>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</si>
  <si>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</si>
  <si>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</si>
  <si>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</si>
  <si>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</si>
  <si>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</si>
  <si>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</si>
  <si>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</si>
  <si>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</si>
  <si>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</si>
  <si>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</si>
  <si>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</si>
  <si>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</si>
  <si>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</si>
  <si>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</si>
  <si>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</si>
  <si>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</si>
  <si>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</si>
  <si>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</si>
  <si>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</si>
  <si>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</si>
  <si>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</si>
  <si>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</si>
  <si>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</si>
  <si>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</si>
  <si>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</si>
  <si>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</si>
  <si>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</si>
  <si>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</si>
  <si>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</si>
  <si>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</si>
  <si>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</si>
  <si>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</si>
  <si>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</si>
  <si>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</si>
  <si>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</si>
  <si>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</si>
  <si>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</si>
  <si>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</si>
  <si>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</si>
  <si>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</si>
  <si>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</si>
  <si>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</si>
  <si>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</si>
  <si>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</si>
  <si>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</si>
  <si>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</si>
  <si>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</si>
  <si>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</si>
  <si>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</si>
  <si>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</si>
  <si>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</si>
  <si>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</si>
  <si>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</si>
  <si>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</si>
  <si>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</si>
  <si>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</si>
  <si>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</si>
  <si>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</si>
  <si>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</si>
  <si>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</si>
  <si>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</si>
  <si>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</si>
  <si>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</si>
  <si>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</si>
  <si>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</si>
  <si>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</si>
  <si>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</si>
  <si>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</si>
  <si>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</si>
  <si>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</si>
  <si>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</si>
  <si>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</si>
  <si>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</si>
  <si>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</si>
  <si>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</si>
  <si>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</si>
  <si>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</si>
  <si>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</si>
  <si>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</si>
  <si>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</si>
  <si>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</si>
  <si>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</si>
  <si>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</si>
  <si>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</si>
  <si>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</si>
  <si>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</si>
  <si>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</si>
  <si>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</si>
  <si>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</si>
  <si>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</si>
  <si>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</si>
  <si>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</si>
  <si>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</si>
  <si>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</si>
  <si>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</si>
  <si>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</si>
  <si>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</si>
  <si>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</si>
  <si>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</si>
  <si>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</si>
  <si>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</si>
  <si>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</si>
  <si>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</si>
  <si>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</si>
  <si>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</si>
  <si>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</si>
  <si>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</si>
  <si>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</si>
  <si>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</si>
  <si>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</si>
  <si>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</si>
  <si>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</si>
  <si>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</si>
  <si>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</si>
  <si>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</si>
  <si>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</si>
  <si>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</si>
  <si>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</si>
  <si>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</si>
  <si>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</si>
  <si>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</si>
  <si>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</si>
  <si>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</si>
  <si>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</si>
  <si>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</si>
  <si>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</si>
  <si>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</si>
  <si>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</si>
  <si>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</si>
  <si>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</si>
  <si>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</si>
  <si>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</si>
  <si>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</si>
  <si>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</si>
  <si>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</si>
  <si>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</si>
  <si>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</si>
  <si>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</si>
  <si>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</si>
  <si>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</si>
  <si>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</si>
  <si>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</si>
  <si>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</si>
  <si>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</si>
  <si>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</si>
  <si>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</si>
  <si>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</si>
  <si>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</si>
  <si>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</si>
  <si>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</si>
  <si>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</si>
  <si>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</si>
  <si>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</si>
  <si>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</si>
  <si>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</si>
  <si>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</si>
  <si>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</si>
  <si>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</si>
  <si>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</si>
  <si>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</si>
  <si>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</si>
  <si>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</si>
  <si>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</si>
  <si>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</si>
  <si>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</si>
  <si>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</si>
  <si>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</si>
  <si>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</si>
  <si>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</si>
  <si>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</si>
  <si>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</si>
  <si>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</si>
  <si>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</si>
  <si>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</si>
  <si>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</si>
  <si>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</si>
  <si>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</si>
  <si>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</si>
  <si>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</si>
  <si>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</si>
  <si>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</si>
  <si>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</si>
  <si>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</si>
  <si>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</si>
  <si>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</si>
  <si>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</si>
  <si>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</si>
  <si>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</si>
  <si>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</si>
  <si>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</si>
  <si>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</si>
  <si>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</si>
  <si>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</si>
  <si>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</si>
  <si>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</si>
  <si>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</si>
  <si>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</si>
  <si>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</si>
  <si>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</si>
  <si>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</si>
  <si>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</si>
  <si>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</si>
  <si>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</si>
  <si>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</si>
  <si>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</si>
  <si>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</si>
  <si>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</si>
  <si>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</si>
  <si>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</si>
  <si>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</si>
  <si>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</si>
  <si>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</si>
  <si>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</si>
  <si>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</si>
  <si>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</si>
  <si>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</si>
  <si>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</si>
  <si>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</si>
  <si>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</si>
  <si>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</si>
  <si>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</si>
  <si>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</si>
  <si>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</si>
  <si>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</si>
  <si>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</si>
  <si>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</si>
  <si>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</si>
  <si>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</si>
  <si>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</si>
  <si>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</si>
  <si>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</si>
  <si>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</si>
  <si>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</si>
  <si>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</si>
  <si>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</si>
  <si>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</si>
  <si>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</si>
  <si>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</si>
  <si>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</si>
  <si>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</si>
  <si>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</si>
  <si>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</si>
  <si>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</si>
  <si>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</si>
  <si>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</si>
  <si>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</si>
  <si>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</si>
  <si>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</si>
  <si>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</si>
  <si>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</si>
  <si>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</si>
  <si>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</si>
  <si>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</si>
  <si>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</si>
  <si>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</si>
  <si>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</si>
  <si>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</si>
  <si>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</si>
  <si>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</si>
  <si>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</si>
  <si>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</si>
  <si>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</si>
  <si>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</si>
  <si>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</si>
  <si>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</si>
  <si>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</si>
  <si>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</si>
  <si>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</si>
  <si>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</si>
  <si>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</si>
  <si>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</si>
  <si>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</si>
  <si>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</si>
  <si>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</si>
  <si>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</si>
  <si>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</si>
  <si>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</si>
  <si>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</si>
  <si>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</si>
  <si>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</si>
  <si>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</si>
  <si>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</si>
  <si>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</si>
  <si>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</si>
  <si>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</si>
  <si>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</si>
  <si>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</si>
  <si>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</si>
  <si>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</si>
  <si>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</si>
  <si>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</si>
  <si>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</si>
  <si>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</si>
  <si>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</si>
  <si>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</si>
  <si>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</si>
  <si>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</si>
  <si>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</si>
  <si>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</si>
  <si>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</si>
  <si>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</si>
  <si>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</si>
  <si>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</si>
  <si>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</si>
  <si>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</si>
  <si>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</si>
  <si>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</si>
  <si>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</si>
  <si>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</si>
  <si>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</si>
  <si>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</si>
  <si>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</si>
  <si>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</si>
  <si>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</si>
  <si>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</si>
  <si>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</si>
  <si>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</si>
  <si>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</si>
  <si>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</si>
  <si>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</si>
  <si>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</si>
  <si>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</si>
  <si>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</si>
  <si>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</si>
  <si>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</si>
  <si>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</si>
  <si>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</si>
  <si>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</si>
  <si>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</si>
  <si>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</si>
  <si>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</si>
  <si>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</si>
  <si>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</si>
  <si>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</si>
  <si>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</si>
  <si>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</si>
  <si>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</si>
  <si>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</si>
  <si>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</si>
  <si>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</si>
  <si>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</si>
  <si>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</si>
  <si>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</si>
  <si>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</si>
  <si>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</si>
  <si>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</si>
  <si>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</si>
  <si>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</si>
  <si>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</si>
  <si>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</si>
  <si>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</si>
  <si>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</si>
  <si>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</si>
  <si>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</si>
  <si>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</si>
  <si>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</si>
  <si>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</si>
  <si>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</si>
  <si>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</si>
  <si>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</si>
  <si>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</si>
  <si>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</si>
  <si>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</si>
  <si>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</si>
  <si>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</si>
  <si>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</si>
  <si>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</si>
  <si>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</si>
  <si>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</si>
  <si>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</si>
  <si>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</si>
  <si>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</si>
  <si>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</si>
  <si>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</si>
  <si>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</si>
  <si>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</si>
  <si>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</si>
  <si>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</si>
  <si>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</si>
  <si>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</si>
  <si>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</si>
  <si>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</si>
  <si>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</si>
  <si>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</si>
  <si>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</si>
  <si>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</si>
  <si>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</si>
  <si>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</si>
  <si>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</si>
  <si>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</si>
  <si>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</si>
  <si>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</si>
  <si>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</si>
  <si>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</si>
  <si>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</si>
  <si>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</si>
  <si>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</si>
  <si>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</si>
  <si>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</si>
  <si>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</si>
  <si>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</si>
  <si>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</si>
  <si>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</si>
  <si>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</si>
  <si>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</si>
  <si>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</si>
  <si>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</si>
  <si>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</si>
  <si>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</si>
  <si>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</si>
  <si>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</si>
  <si>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</si>
  <si>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</si>
  <si>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</si>
  <si>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</si>
  <si>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</si>
  <si>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</si>
  <si>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</si>
  <si>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</si>
  <si>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</si>
  <si>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</si>
  <si>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</si>
  <si>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</si>
  <si>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</si>
  <si>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</si>
  <si>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</si>
  <si>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</si>
  <si>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</si>
  <si>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</si>
  <si>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</si>
  <si>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</si>
  <si>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</si>
  <si>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</si>
  <si>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</si>
  <si>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</si>
  <si>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</si>
  <si>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</si>
  <si>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</si>
  <si>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</si>
  <si>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</si>
  <si>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</si>
  <si>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</si>
  <si>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</si>
  <si>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</si>
  <si>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</si>
  <si>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</si>
  <si>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</si>
  <si>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</si>
  <si>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</si>
  <si>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</si>
  <si>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</si>
  <si>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</si>
  <si>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</si>
  <si>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</si>
  <si>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</si>
  <si>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</si>
  <si>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</si>
  <si>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</si>
  <si>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</si>
  <si>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</si>
  <si>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</si>
  <si>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</si>
  <si>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</si>
  <si>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</si>
  <si>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</si>
  <si>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</si>
  <si>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</si>
  <si>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</si>
  <si>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</si>
  <si>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</si>
  <si>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</si>
  <si>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</si>
  <si>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</si>
  <si>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</si>
  <si>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</si>
  <si>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</si>
  <si>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</si>
  <si>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</si>
  <si>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</si>
  <si>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</si>
  <si>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</si>
  <si>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</si>
  <si>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</si>
  <si>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</si>
  <si>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</si>
  <si>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</si>
  <si>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</si>
  <si>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</si>
  <si>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</si>
  <si>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</si>
  <si>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</si>
  <si>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</si>
  <si>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</si>
  <si>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</si>
  <si>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</si>
  <si>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</si>
  <si>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</si>
  <si>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</si>
  <si>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</si>
  <si>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</si>
  <si>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</si>
  <si>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</si>
  <si>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</si>
  <si>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</si>
  <si>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</si>
  <si>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</si>
  <si>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</si>
  <si>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</si>
  <si>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</si>
  <si>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</si>
  <si>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</si>
  <si>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</si>
  <si>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</si>
  <si>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</si>
  <si>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</si>
  <si>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</si>
  <si>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</si>
  <si>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</si>
  <si>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</si>
  <si>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</si>
  <si>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</si>
  <si>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</si>
  <si>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</si>
  <si>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</si>
  <si>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</si>
  <si>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</si>
  <si>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</si>
  <si>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</si>
  <si>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</si>
  <si>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</si>
  <si>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</si>
  <si>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</si>
  <si>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</si>
  <si>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</si>
  <si>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</si>
  <si>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</si>
  <si>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</si>
  <si>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</si>
  <si>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</si>
  <si>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</si>
  <si>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</si>
  <si>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</si>
  <si>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</si>
  <si>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</si>
  <si>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</si>
  <si>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</si>
  <si>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</si>
  <si>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</si>
  <si>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</si>
  <si>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</si>
  <si>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</si>
  <si>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</si>
  <si>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</si>
  <si>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</si>
  <si>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</si>
  <si>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</si>
  <si>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</si>
  <si>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</si>
  <si>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</si>
  <si>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</si>
  <si>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</si>
  <si>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</si>
  <si>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</si>
  <si>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</si>
  <si>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</si>
  <si>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</si>
  <si>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</si>
  <si>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</si>
  <si>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</si>
  <si>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</si>
  <si>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</si>
  <si>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</si>
  <si>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</si>
  <si>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</si>
  <si>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</si>
  <si>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</si>
  <si>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</si>
  <si>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</si>
  <si>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</si>
  <si>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</si>
  <si>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</si>
  <si>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</si>
  <si>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</si>
  <si>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</si>
  <si>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</si>
  <si>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</si>
  <si>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</si>
  <si>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</si>
  <si>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</si>
  <si>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</si>
  <si>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</si>
  <si>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</si>
  <si>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</si>
  <si>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</si>
  <si>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</si>
  <si>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</si>
  <si>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</si>
  <si>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</si>
  <si>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</si>
  <si>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</si>
  <si>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</si>
  <si>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</si>
  <si>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</si>
  <si>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</si>
  <si>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</si>
  <si>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</si>
  <si>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</si>
  <si>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</si>
  <si>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</si>
  <si>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</si>
  <si>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</si>
  <si>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</si>
  <si>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</si>
  <si>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</si>
  <si>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</si>
  <si>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</si>
  <si>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</si>
  <si>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</si>
  <si>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</si>
  <si>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</si>
  <si>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</si>
  <si>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</si>
  <si>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</si>
  <si>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</si>
  <si>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</si>
  <si>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</si>
  <si>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</si>
  <si>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</si>
  <si>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</si>
  <si>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</si>
  <si>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</si>
  <si>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</si>
  <si>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</si>
  <si>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</si>
  <si>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</si>
  <si>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</si>
  <si>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</si>
  <si>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</si>
  <si>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</si>
  <si>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</si>
  <si>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</si>
  <si>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</si>
  <si>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</si>
  <si>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</si>
  <si>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</si>
  <si>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</si>
  <si>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</si>
  <si>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</si>
  <si>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</si>
  <si>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</si>
  <si>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</si>
  <si>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</si>
  <si>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</si>
  <si>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</si>
  <si>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</si>
  <si>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</si>
  <si>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</si>
  <si>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</si>
  <si>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</si>
  <si>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</si>
  <si>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</si>
  <si>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</si>
  <si>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</si>
  <si>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</si>
  <si>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</si>
  <si>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</si>
  <si>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</si>
  <si>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</si>
  <si>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</si>
  <si>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</si>
  <si>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</si>
  <si>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</si>
  <si>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</si>
  <si>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</si>
  <si>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</si>
  <si>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</si>
  <si>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</si>
  <si>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</si>
  <si>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</si>
  <si>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</si>
  <si>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</si>
  <si>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</si>
  <si>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</si>
  <si>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</si>
  <si>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</si>
  <si>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</si>
  <si>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</si>
  <si>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</si>
  <si>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</si>
  <si>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</si>
  <si>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</si>
  <si>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</si>
  <si>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</si>
  <si>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</si>
  <si>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</si>
  <si>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</si>
  <si>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</si>
  <si>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</si>
  <si>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</si>
  <si>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</si>
  <si>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</si>
  <si>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</si>
  <si>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</si>
  <si>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</si>
  <si>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</si>
  <si>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</si>
  <si>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</si>
  <si>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</si>
  <si>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</si>
  <si>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</si>
  <si>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</si>
  <si>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</si>
  <si>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</si>
  <si>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</si>
  <si>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</si>
  <si>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</si>
  <si>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</si>
  <si>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</si>
  <si>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</si>
  <si>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</si>
  <si>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</si>
  <si>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</si>
  <si>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</si>
  <si>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</si>
  <si>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</si>
  <si>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</si>
  <si>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</si>
  <si>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</si>
  <si>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</si>
  <si>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</si>
  <si>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</si>
  <si>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</si>
  <si>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</si>
  <si>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</si>
  <si>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</si>
  <si>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</si>
  <si>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</si>
  <si>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</si>
  <si>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</si>
  <si>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</si>
  <si>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</si>
  <si>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</si>
  <si>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</si>
  <si>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</si>
  <si>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</si>
  <si>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</si>
  <si>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</si>
  <si>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</si>
  <si>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</si>
  <si>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</si>
  <si>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</si>
  <si>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</si>
  <si>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</si>
  <si>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</si>
  <si>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</si>
  <si>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</si>
  <si>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</si>
  <si>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</si>
  <si>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</si>
  <si>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</si>
  <si>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</si>
  <si>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</si>
  <si>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</si>
  <si>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</si>
  <si>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</si>
  <si>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</si>
  <si>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</si>
  <si>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</si>
  <si>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</si>
  <si>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</si>
  <si>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</si>
  <si>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</si>
  <si>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</si>
  <si>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</si>
  <si>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</si>
  <si>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</si>
  <si>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</si>
  <si>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</si>
  <si>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</si>
  <si>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</si>
  <si>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</si>
  <si>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</si>
  <si>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</si>
  <si>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</si>
  <si>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</si>
  <si>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</si>
  <si>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</si>
  <si>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</si>
  <si>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</si>
  <si>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</si>
  <si>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</si>
  <si>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</si>
  <si>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</si>
  <si>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</si>
  <si>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</si>
  <si>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</si>
  <si>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</si>
  <si>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</si>
  <si>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</si>
  <si>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</si>
  <si>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</si>
  <si>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</si>
  <si>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</si>
  <si>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</si>
  <si>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</si>
  <si>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</si>
  <si>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</si>
  <si>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</si>
  <si>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</si>
  <si>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</si>
  <si>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</si>
  <si>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</si>
  <si>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</si>
  <si>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</si>
  <si>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</si>
  <si>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</si>
  <si>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</si>
  <si>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</si>
  <si>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</si>
  <si>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</si>
  <si>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</si>
  <si>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</si>
  <si>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</si>
  <si>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</si>
  <si>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</si>
  <si>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</si>
  <si>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</si>
  <si>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</si>
  <si>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</si>
  <si>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</si>
  <si>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</si>
  <si>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</si>
  <si>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</si>
  <si>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</si>
  <si>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</si>
  <si>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</si>
  <si>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</si>
  <si>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</si>
  <si>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</si>
  <si>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</si>
  <si>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</si>
  <si>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</si>
  <si>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</si>
  <si>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</si>
  <si>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</si>
  <si>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</si>
  <si>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</si>
  <si>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</si>
  <si>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</si>
  <si>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</si>
  <si>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</si>
  <si>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</si>
  <si>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</si>
  <si>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</si>
  <si>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</si>
  <si>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</si>
  <si>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</si>
  <si>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</si>
  <si>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</si>
  <si>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</si>
  <si>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</si>
  <si>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</si>
  <si>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</si>
  <si>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</si>
  <si>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</si>
  <si>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</si>
  <si>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</si>
  <si>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</si>
  <si>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</si>
  <si>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</si>
  <si>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</si>
  <si>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</si>
  <si>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</si>
  <si>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</si>
  <si>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</si>
  <si>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</si>
  <si>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</si>
  <si>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</si>
  <si>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</si>
  <si>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</si>
  <si>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</si>
  <si>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</si>
  <si>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</si>
  <si>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</si>
  <si>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</si>
  <si>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</si>
  <si>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</si>
  <si>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</si>
  <si>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</si>
  <si>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</si>
  <si>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</si>
  <si>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</si>
  <si>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</si>
  <si>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</si>
  <si>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</si>
  <si>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</si>
  <si>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</si>
  <si>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</si>
  <si>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</si>
  <si>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</si>
  <si>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</si>
  <si>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</si>
  <si>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</si>
  <si>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</si>
  <si>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</si>
  <si>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</si>
  <si>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</si>
  <si>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</si>
  <si>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</si>
  <si>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</si>
  <si>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</si>
  <si>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</si>
  <si>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</si>
  <si>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</si>
  <si>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</si>
  <si>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</si>
  <si>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</si>
  <si>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</si>
  <si>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</si>
  <si>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</si>
  <si>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</si>
  <si>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</si>
  <si>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</si>
  <si>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</si>
  <si>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</si>
  <si>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</si>
  <si>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</si>
  <si>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</si>
  <si>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</si>
  <si>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</si>
  <si>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</si>
  <si>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</si>
  <si>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</si>
  <si>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</si>
  <si>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</si>
  <si>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</si>
  <si>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</si>
  <si>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</si>
  <si>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</si>
  <si>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</si>
  <si>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</si>
  <si>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</si>
  <si>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</si>
  <si>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</si>
  <si>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</si>
  <si>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</si>
  <si>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</si>
  <si>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</si>
  <si>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</si>
  <si>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</si>
  <si>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</si>
  <si>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</si>
  <si>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</si>
  <si>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</si>
  <si>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</si>
  <si>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</si>
  <si>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</si>
  <si>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</si>
  <si>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</si>
  <si>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</si>
  <si>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</si>
  <si>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</si>
  <si>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</si>
  <si>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</si>
  <si>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</si>
  <si>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</si>
  <si>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</si>
  <si>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</si>
  <si>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</si>
  <si>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</si>
  <si>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</si>
  <si>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</si>
  <si>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</si>
  <si>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</si>
  <si>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</si>
  <si>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</si>
  <si>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</si>
  <si>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</si>
  <si>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</si>
  <si>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</si>
  <si>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</si>
  <si>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</si>
  <si>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</si>
  <si>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</si>
  <si>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</si>
  <si>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</si>
  <si>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</si>
  <si>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</si>
  <si>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</si>
  <si>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</si>
  <si>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</si>
  <si>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</si>
  <si>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</si>
  <si>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</si>
  <si>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</si>
  <si>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</si>
  <si>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</si>
  <si>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</si>
  <si>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</si>
  <si>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</si>
  <si>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</si>
  <si>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</si>
  <si>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</si>
  <si>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</si>
  <si>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</si>
  <si>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</si>
  <si>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</si>
  <si>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</si>
  <si>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</si>
  <si>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</si>
  <si>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</si>
  <si>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</si>
  <si>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</si>
  <si>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</si>
  <si>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</si>
  <si>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</si>
  <si>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</si>
  <si>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</si>
  <si>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</si>
  <si>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</si>
  <si>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</si>
  <si>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</si>
  <si>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</si>
  <si>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</si>
  <si>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</si>
  <si>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</si>
  <si>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</si>
  <si>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</si>
  <si>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</si>
  <si>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</si>
  <si>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</si>
  <si>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</si>
  <si>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</si>
  <si>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</si>
  <si>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</si>
  <si>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</si>
  <si>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</si>
  <si>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</si>
  <si>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</si>
  <si>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</si>
  <si>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</si>
  <si>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</si>
  <si>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</si>
  <si>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</si>
  <si>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</si>
  <si>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</si>
  <si>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</si>
  <si>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</si>
  <si>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</si>
  <si>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</si>
  <si>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</si>
  <si>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</si>
  <si>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</si>
  <si>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</si>
  <si>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</si>
  <si>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</si>
  <si>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</si>
  <si>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</si>
  <si>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</si>
  <si>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</si>
  <si>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</si>
  <si>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</si>
  <si>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</si>
  <si>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</si>
  <si>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</si>
  <si>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</si>
  <si>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</si>
  <si>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</si>
  <si>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</si>
  <si>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</si>
  <si>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</si>
  <si>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</si>
  <si>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</si>
  <si>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</si>
  <si>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</si>
  <si>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</si>
  <si>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</si>
  <si>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</si>
  <si>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</si>
  <si>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</si>
  <si>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</si>
  <si>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</si>
  <si>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</si>
  <si>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</si>
  <si>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</si>
  <si>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</si>
  <si>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</si>
  <si>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</si>
  <si>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</si>
  <si>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</si>
  <si>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</si>
  <si>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</si>
  <si>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</si>
  <si>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</si>
  <si>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</si>
  <si>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</si>
  <si>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</si>
  <si>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</si>
  <si>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</si>
  <si>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</si>
  <si>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</si>
  <si>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</si>
  <si>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</si>
  <si>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</si>
  <si>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</si>
  <si>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</si>
  <si>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</si>
  <si>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</si>
  <si>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</si>
  <si>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</si>
  <si>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</si>
  <si>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</si>
  <si>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</si>
  <si>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</si>
  <si>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</si>
  <si>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</si>
  <si>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</si>
  <si>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</si>
  <si>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</si>
  <si>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</si>
  <si>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</si>
  <si>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</si>
  <si>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</si>
  <si>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</si>
  <si>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</si>
  <si>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</si>
  <si>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</si>
  <si>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</si>
  <si>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</si>
  <si>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</si>
  <si>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</si>
  <si>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</si>
  <si>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</si>
  <si>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</si>
  <si>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</si>
  <si>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</si>
  <si>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</si>
  <si>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</si>
  <si>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</si>
  <si>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</si>
  <si>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</si>
  <si>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</si>
  <si>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</si>
  <si>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</si>
  <si>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</si>
  <si>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</si>
  <si>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</si>
  <si>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</si>
  <si>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</si>
  <si>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</si>
  <si>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</si>
  <si>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</si>
  <si>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</si>
  <si>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</si>
  <si>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</si>
  <si>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</si>
  <si>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</si>
  <si>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</si>
  <si>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</si>
  <si>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</si>
  <si>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</si>
  <si>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</si>
  <si>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</si>
  <si>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</si>
  <si>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</si>
  <si>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</si>
  <si>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</si>
  <si>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</si>
  <si>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</si>
  <si>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</si>
  <si>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</si>
  <si>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</si>
  <si>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</si>
  <si>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</si>
  <si>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</si>
  <si>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</si>
  <si>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</si>
  <si>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</si>
  <si>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</si>
  <si>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</si>
  <si>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</si>
  <si>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</si>
  <si>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</si>
  <si>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</si>
  <si>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</si>
  <si>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</si>
  <si>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</si>
  <si>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</si>
  <si>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</si>
  <si>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</si>
  <si>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</si>
  <si>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</si>
  <si>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</si>
  <si>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</si>
  <si>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</si>
  <si>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</si>
  <si>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</si>
  <si>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</si>
  <si>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</si>
  <si>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</si>
  <si>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</si>
  <si>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</si>
  <si>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</si>
  <si>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</si>
  <si>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</si>
  <si>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</si>
  <si>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</si>
  <si>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</si>
  <si>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</si>
  <si>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</si>
  <si>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</si>
  <si>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</si>
  <si>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</si>
  <si>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</si>
  <si>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</si>
  <si>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</si>
  <si>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</si>
  <si>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</si>
  <si>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</si>
  <si>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</si>
  <si>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</si>
  <si>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</si>
  <si>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</si>
  <si>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</si>
  <si>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</si>
  <si>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</si>
  <si>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</si>
  <si>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</si>
  <si>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</si>
  <si>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</si>
  <si>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</si>
  <si>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</si>
  <si>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</si>
  <si>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</si>
  <si>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</si>
  <si>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</si>
  <si>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</si>
  <si>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</si>
  <si>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</si>
  <si>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</si>
  <si>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</si>
  <si>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</si>
  <si>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</si>
  <si>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</si>
  <si>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</si>
  <si>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</si>
  <si>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</si>
  <si>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</si>
  <si>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</si>
  <si>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</si>
  <si>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</si>
  <si>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</si>
  <si>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</si>
  <si>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</si>
  <si>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</si>
  <si>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</si>
  <si>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</si>
  <si>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</si>
  <si>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</si>
  <si>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</si>
  <si>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</si>
  <si>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</si>
  <si>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</si>
  <si>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</si>
  <si>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</si>
  <si>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</si>
  <si>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</si>
  <si>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</si>
  <si>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</si>
  <si>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</si>
  <si>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</si>
  <si>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</si>
  <si>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</si>
  <si>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</si>
  <si>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</si>
  <si>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</si>
  <si>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</si>
  <si>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</si>
  <si>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</si>
  <si>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</si>
  <si>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</si>
  <si>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</si>
  <si>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</si>
  <si>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</si>
  <si>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</si>
  <si>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</si>
  <si>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</si>
  <si>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</si>
  <si>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</si>
  <si>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</si>
  <si>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</si>
  <si>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</si>
  <si>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</si>
  <si>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</si>
  <si>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</si>
  <si>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</si>
  <si>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</si>
  <si>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</si>
  <si>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</si>
  <si>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</si>
  <si>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</si>
  <si>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</si>
  <si>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</si>
  <si>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</si>
  <si>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</si>
  <si>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</si>
  <si>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</si>
  <si>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</si>
  <si>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</si>
  <si>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</si>
  <si>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</si>
  <si>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</si>
  <si>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</si>
  <si>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</si>
  <si>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</si>
  <si>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</si>
  <si>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</si>
  <si>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</si>
  <si>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</si>
  <si>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</si>
  <si>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</si>
  <si>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</si>
  <si>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</si>
  <si>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</si>
  <si>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</si>
  <si>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</si>
  <si>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</si>
  <si>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</si>
  <si>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</si>
  <si>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</si>
  <si>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</si>
  <si>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</si>
  <si>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</si>
  <si>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</si>
  <si>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</si>
  <si>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</si>
  <si>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</si>
  <si>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</si>
  <si>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</si>
  <si>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</si>
  <si>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</si>
  <si>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</si>
  <si>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</si>
  <si>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</si>
  <si>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</si>
  <si>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</si>
  <si>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</si>
  <si>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</si>
  <si>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</si>
  <si>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</si>
  <si>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</si>
  <si>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</si>
  <si>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</si>
  <si>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</si>
  <si>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</si>
  <si>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</si>
  <si>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</si>
  <si>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</si>
  <si>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</si>
  <si>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</si>
  <si>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</si>
  <si>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</si>
  <si>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</si>
  <si>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</si>
  <si>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</si>
  <si>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</si>
  <si>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</si>
  <si>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</si>
  <si>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</si>
  <si>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</si>
  <si>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</si>
  <si>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</si>
  <si>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</si>
  <si>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</si>
  <si>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</si>
  <si>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</si>
  <si>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</si>
  <si>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</si>
  <si>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</si>
  <si>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</si>
  <si>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</si>
  <si>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</si>
  <si>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</si>
  <si>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</si>
  <si>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</si>
  <si>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</si>
  <si>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</si>
  <si>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</si>
  <si>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</si>
  <si>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</si>
  <si>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</si>
  <si>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</si>
  <si>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</si>
  <si>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</si>
  <si>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</si>
  <si>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</si>
  <si>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</si>
  <si>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</si>
  <si>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</si>
  <si>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</si>
  <si>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</si>
  <si>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</si>
  <si>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</si>
  <si>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</si>
  <si>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</si>
  <si>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</si>
  <si>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</si>
  <si>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</si>
  <si>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</si>
  <si>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</si>
  <si>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</si>
  <si>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</si>
  <si>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</si>
  <si>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</si>
  <si>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</si>
  <si>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</si>
  <si>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</si>
  <si>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</si>
  <si>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</si>
  <si>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</si>
  <si>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</si>
  <si>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</si>
  <si>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</si>
  <si>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</si>
  <si>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</si>
  <si>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</si>
  <si>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</si>
  <si>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</si>
  <si>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</si>
  <si>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</si>
  <si>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</si>
  <si>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</si>
  <si>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</si>
  <si>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</si>
  <si>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</si>
  <si>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</si>
  <si>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</si>
  <si>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</si>
  <si>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</si>
  <si>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</si>
  <si>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</si>
  <si>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</si>
  <si>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</si>
  <si>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</si>
  <si>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</si>
  <si>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</si>
  <si>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</si>
  <si>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</si>
  <si>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</si>
  <si>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</si>
  <si>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</si>
  <si>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</si>
  <si>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</si>
  <si>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</si>
  <si>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</si>
  <si>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</si>
  <si>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</si>
  <si>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</si>
  <si>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</si>
  <si>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</si>
  <si>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</si>
  <si>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</si>
  <si>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</si>
  <si>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</si>
  <si>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</si>
  <si>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</si>
  <si>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</si>
  <si>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</si>
  <si>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</si>
  <si>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</si>
  <si>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</si>
  <si>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</si>
  <si>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</si>
  <si>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</si>
  <si>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</si>
  <si>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</si>
  <si>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</si>
  <si>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</si>
  <si>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</si>
  <si>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</si>
  <si>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</si>
  <si>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</si>
  <si>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</si>
  <si>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</si>
  <si>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</si>
  <si>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</si>
  <si>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</si>
  <si>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</si>
  <si>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</si>
  <si>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</si>
  <si>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</si>
  <si>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</si>
  <si>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</si>
  <si>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</si>
  <si>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</si>
  <si>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</si>
  <si>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</si>
  <si>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</si>
  <si>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</si>
  <si>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</si>
  <si>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</si>
  <si>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</si>
  <si>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</si>
  <si>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</si>
  <si>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</si>
  <si>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</si>
  <si>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</si>
  <si>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</si>
  <si>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</si>
  <si>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</si>
  <si>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</si>
  <si>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</si>
  <si>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</si>
  <si>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</si>
  <si>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</si>
  <si>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</si>
  <si>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</si>
  <si>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</si>
  <si>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</si>
  <si>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</si>
  <si>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</si>
  <si>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</si>
  <si>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</si>
  <si>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</si>
  <si>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</si>
  <si>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</si>
  <si>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</si>
  <si>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</si>
  <si>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</si>
  <si>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</si>
  <si>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</si>
  <si>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</si>
  <si>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</si>
  <si>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</si>
  <si>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</si>
  <si>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</si>
  <si>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</si>
  <si>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</si>
  <si>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</si>
  <si>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</si>
  <si>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</si>
  <si>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</si>
  <si>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</si>
  <si>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</si>
  <si>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</si>
  <si>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</si>
  <si>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</si>
  <si>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</si>
  <si>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</si>
  <si>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</si>
  <si>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</si>
  <si>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</si>
  <si>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</si>
  <si>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</si>
  <si>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</si>
  <si>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</si>
  <si>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</si>
  <si>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</si>
  <si>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</si>
  <si>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</si>
  <si>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</si>
  <si>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</si>
  <si>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</si>
  <si>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</si>
  <si>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</si>
  <si>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</si>
  <si>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</si>
  <si>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</si>
  <si>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</si>
  <si>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</si>
  <si>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</si>
  <si>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</si>
  <si>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</si>
  <si>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</si>
  <si>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</si>
  <si>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</si>
  <si>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</si>
  <si>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</si>
  <si>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</si>
  <si>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</si>
  <si>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</si>
  <si>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</si>
  <si>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</si>
  <si>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</si>
  <si>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</si>
  <si>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</si>
  <si>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</si>
  <si>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</si>
  <si>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</si>
  <si>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</si>
  <si>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</si>
  <si>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</si>
  <si>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</si>
  <si>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</si>
  <si>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</si>
  <si>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</si>
  <si>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</si>
  <si>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</si>
  <si>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</si>
  <si>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</si>
  <si>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</si>
  <si>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</si>
  <si>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</si>
  <si>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</si>
  <si>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</si>
  <si>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</si>
  <si>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</si>
  <si>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</si>
  <si>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</si>
  <si>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</si>
  <si>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</si>
  <si>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</si>
  <si>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</si>
  <si>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</si>
  <si>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</si>
  <si>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</si>
  <si>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</si>
  <si>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</si>
  <si>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</si>
  <si>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</si>
  <si>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</si>
  <si>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</si>
  <si>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</si>
  <si>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</si>
  <si>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</si>
  <si>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</si>
  <si>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</si>
  <si>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</si>
  <si>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</si>
  <si>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</si>
  <si>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</si>
  <si>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</si>
  <si>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</si>
  <si>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</si>
  <si>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</si>
  <si>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</si>
  <si>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</si>
  <si>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</si>
  <si>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</si>
  <si>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</si>
  <si>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</si>
  <si>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</si>
  <si>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</si>
  <si>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</si>
  <si>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</si>
  <si>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</si>
  <si>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</si>
  <si>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</si>
  <si>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</si>
  <si>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</si>
  <si>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</si>
  <si>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</si>
  <si>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</si>
  <si>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</si>
  <si>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</si>
  <si>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</si>
  <si>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</si>
  <si>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</si>
  <si>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</si>
  <si>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</si>
  <si>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</si>
  <si>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</si>
  <si>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</si>
  <si>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</si>
  <si>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</si>
  <si>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</si>
  <si>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</si>
  <si>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</si>
  <si>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</si>
  <si>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</si>
  <si>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</si>
  <si>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</si>
  <si>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</si>
  <si>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</si>
  <si>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</si>
  <si>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</si>
  <si>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</si>
  <si>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</si>
  <si>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</si>
  <si>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</si>
  <si>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</si>
  <si>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</si>
  <si>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</si>
  <si>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</si>
  <si>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</si>
  <si>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</si>
  <si>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</si>
  <si>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</si>
  <si>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</si>
  <si>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</si>
  <si>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</si>
  <si>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</si>
  <si>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</si>
  <si>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</si>
  <si>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</si>
  <si>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</si>
  <si>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</si>
  <si>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</si>
  <si>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</si>
  <si>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</si>
  <si>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</si>
  <si>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</si>
  <si>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</si>
  <si>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</si>
  <si>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</si>
  <si>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</si>
  <si>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</si>
  <si>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</si>
  <si>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</si>
  <si>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</si>
  <si>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</si>
  <si>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</si>
  <si>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</si>
  <si>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</si>
  <si>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</si>
  <si>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</si>
  <si>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</si>
  <si>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</si>
  <si>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</si>
  <si>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</si>
  <si>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</si>
  <si>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</si>
  <si>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</si>
  <si>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</si>
  <si>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</si>
  <si>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</si>
  <si>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</si>
  <si>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</si>
  <si>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</si>
  <si>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</si>
  <si>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</si>
  <si>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</si>
  <si>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</si>
  <si>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</si>
  <si>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</si>
  <si>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</si>
  <si>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</si>
  <si>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</si>
  <si>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</si>
  <si>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</si>
  <si>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</si>
  <si>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</si>
  <si>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</si>
  <si>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</si>
  <si>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</si>
  <si>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</si>
  <si>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</si>
  <si>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</si>
  <si>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</si>
  <si>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</si>
  <si>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</si>
  <si>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</si>
  <si>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</si>
  <si>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</si>
  <si>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</si>
  <si>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</si>
  <si>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</si>
  <si>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</si>
  <si>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</si>
  <si>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</si>
  <si>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</si>
  <si>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</si>
  <si>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</si>
  <si>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</si>
  <si>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</si>
  <si>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</si>
  <si>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</si>
  <si>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</si>
  <si>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</si>
  <si>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</si>
  <si>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</si>
  <si>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</si>
  <si>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</si>
  <si>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</si>
  <si>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</si>
  <si>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</si>
  <si>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</si>
  <si>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</si>
  <si>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</si>
  <si>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</si>
  <si>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</si>
  <si>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</si>
  <si>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</si>
  <si>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</si>
  <si>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</si>
  <si>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</si>
  <si>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</si>
  <si>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</si>
  <si>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</si>
  <si>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</si>
  <si>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</si>
  <si>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</si>
  <si>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</si>
  <si>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</si>
  <si>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</si>
  <si>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</si>
  <si>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</si>
  <si>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</si>
  <si>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</si>
  <si>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</si>
  <si>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</si>
  <si>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</si>
  <si>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</si>
  <si>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</si>
  <si>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</si>
  <si>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</si>
  <si>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</si>
  <si>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</si>
  <si>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</si>
  <si>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</si>
  <si>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</si>
  <si>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</si>
  <si>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</si>
  <si>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</si>
  <si>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</si>
  <si>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</si>
  <si>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</si>
  <si>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</si>
  <si>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</si>
  <si>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</si>
  <si>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</si>
  <si>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</si>
  <si>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</si>
  <si>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</si>
  <si>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</si>
  <si>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</si>
  <si>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</si>
  <si>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</si>
  <si>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</si>
  <si>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</si>
  <si>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</si>
  <si>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</si>
  <si>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</si>
  <si>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</si>
  <si>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</si>
  <si>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</si>
  <si>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</si>
  <si>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</si>
  <si>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</si>
  <si>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</si>
  <si>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</si>
  <si>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</si>
  <si>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</si>
  <si>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</si>
  <si>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</si>
  <si>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</si>
  <si>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</si>
  <si>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</si>
  <si>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</si>
  <si>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</si>
  <si>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</si>
  <si>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</si>
  <si>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</si>
  <si>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</si>
  <si>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</si>
  <si>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</si>
  <si>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</si>
  <si>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</si>
  <si>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</si>
  <si>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</si>
  <si>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</si>
  <si>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</si>
  <si>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</si>
  <si>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</si>
  <si>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</si>
  <si>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</si>
  <si>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</si>
  <si>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</si>
  <si>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</si>
  <si>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</si>
  <si>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</si>
  <si>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</si>
  <si>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</si>
  <si>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</si>
  <si>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</si>
  <si>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</si>
  <si>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</si>
  <si>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</si>
  <si>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</si>
  <si>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</si>
  <si>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</si>
  <si>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</si>
  <si>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</si>
  <si>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</si>
  <si>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</si>
  <si>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</si>
  <si>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</si>
  <si>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</si>
  <si>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</si>
  <si>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</si>
  <si>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</si>
  <si>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</si>
  <si>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</si>
  <si>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</si>
  <si>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</si>
  <si>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</si>
  <si>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</si>
  <si>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</si>
  <si>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</si>
  <si>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</si>
  <si>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</si>
  <si>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</si>
  <si>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</si>
  <si>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</si>
  <si>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</si>
  <si>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</si>
  <si>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</si>
  <si>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</si>
  <si>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</si>
  <si>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</si>
  <si>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</si>
  <si>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</si>
  <si>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</si>
  <si>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</si>
  <si>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</si>
  <si>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</si>
  <si>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</si>
  <si>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</si>
  <si>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</si>
  <si>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</si>
  <si>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</si>
  <si>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</si>
  <si>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</si>
  <si>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</si>
  <si>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</si>
  <si>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</si>
  <si>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</si>
  <si>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</si>
  <si>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</si>
  <si>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</si>
  <si>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</si>
  <si>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</si>
  <si>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</si>
  <si>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</si>
  <si>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</si>
  <si>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</si>
  <si>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</si>
  <si>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</si>
  <si>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</si>
  <si>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</si>
  <si>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</si>
  <si>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</si>
  <si>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</si>
  <si>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</si>
  <si>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</si>
  <si>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</si>
  <si>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</si>
  <si>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</si>
  <si>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</si>
  <si>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</si>
  <si>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</si>
  <si>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</si>
  <si>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</si>
  <si>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</si>
  <si>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</si>
  <si>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</si>
  <si>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</si>
  <si>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</si>
  <si>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</si>
  <si>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</si>
  <si>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</si>
  <si>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</si>
  <si>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</si>
  <si>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</si>
  <si>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</si>
  <si>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</si>
  <si>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</si>
  <si>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</si>
  <si>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</si>
  <si>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</si>
  <si>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</si>
  <si>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</si>
  <si>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</si>
  <si>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</si>
  <si>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</si>
  <si>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</si>
  <si>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</si>
  <si>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</si>
  <si>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</si>
  <si>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</si>
  <si>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</si>
  <si>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</si>
  <si>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</si>
  <si>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</si>
  <si>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</si>
  <si>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</si>
  <si>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</si>
  <si>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</si>
  <si>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</si>
  <si>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</si>
  <si>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</si>
  <si>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</si>
  <si>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</si>
  <si>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</si>
  <si>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</si>
  <si>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</si>
  <si>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</si>
  <si>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</si>
  <si>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</si>
  <si>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</si>
  <si>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</si>
  <si>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</si>
  <si>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</si>
  <si>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</si>
  <si>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</si>
  <si>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</si>
  <si>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</si>
  <si>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</si>
  <si>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</si>
  <si>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</si>
  <si>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</si>
  <si>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</si>
  <si>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</si>
  <si>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</si>
  <si>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</si>
  <si>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</si>
  <si>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</si>
  <si>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</si>
  <si>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</si>
  <si>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</si>
  <si>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</si>
  <si>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</si>
  <si>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</si>
  <si>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</si>
  <si>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</si>
  <si>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</si>
  <si>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</si>
  <si>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</si>
  <si>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</si>
  <si>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</si>
  <si>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</si>
  <si>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</si>
  <si>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</si>
  <si>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</si>
  <si>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</si>
  <si>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</si>
  <si>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</si>
  <si>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</si>
  <si>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</si>
  <si>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</si>
  <si>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</si>
  <si>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</si>
  <si>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</si>
  <si>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</si>
  <si>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</si>
  <si>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</si>
  <si>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</si>
  <si>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</si>
  <si>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</si>
  <si>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</si>
  <si>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</si>
  <si>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</si>
  <si>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</si>
  <si>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</si>
  <si>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</si>
  <si>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</si>
  <si>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</si>
  <si>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</si>
  <si>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</si>
  <si>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</si>
  <si>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</si>
  <si>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</si>
  <si>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</si>
  <si>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</si>
  <si>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</si>
  <si>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</si>
  <si>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</si>
  <si>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</si>
  <si>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</si>
  <si>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</si>
  <si>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</si>
  <si>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</si>
  <si>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</si>
  <si>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</si>
  <si>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</si>
  <si>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</si>
  <si>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</si>
  <si>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</si>
  <si>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</si>
  <si>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</si>
  <si>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</si>
  <si>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</si>
  <si>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</si>
  <si>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</si>
  <si>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</si>
  <si>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</si>
  <si>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</si>
  <si>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</si>
  <si>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</si>
  <si>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</si>
  <si>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</si>
  <si>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</si>
  <si>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</si>
  <si>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</si>
  <si>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</si>
  <si>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</si>
  <si>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</si>
  <si>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</si>
  <si>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</si>
  <si>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</si>
  <si>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</si>
  <si>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</si>
  <si>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</si>
  <si>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</si>
  <si>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</si>
  <si>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</si>
  <si>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</si>
  <si>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</si>
  <si>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</si>
  <si>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</si>
  <si>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</si>
  <si>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</si>
  <si>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</si>
  <si>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</si>
  <si>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</si>
  <si>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</si>
  <si>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</si>
  <si>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</si>
  <si>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</si>
  <si>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</si>
  <si>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</si>
  <si>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</si>
  <si>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</si>
  <si>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</si>
  <si>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</si>
  <si>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</si>
  <si>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</si>
  <si>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</si>
  <si>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</si>
  <si>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</si>
  <si>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</si>
  <si>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</si>
  <si>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</si>
  <si>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</si>
  <si>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</si>
  <si>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</si>
  <si>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</si>
  <si>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</si>
  <si>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</si>
  <si>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</si>
  <si>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</si>
  <si>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</si>
  <si>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</si>
  <si>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</si>
  <si>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</si>
  <si>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</si>
  <si>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</si>
  <si>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</si>
  <si>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</si>
  <si>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</si>
  <si>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</si>
  <si>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</si>
  <si>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</si>
  <si>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</si>
  <si>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</si>
  <si>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</si>
  <si>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</si>
  <si>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</si>
  <si>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</si>
  <si>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</si>
  <si>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</si>
  <si>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</si>
  <si>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</si>
  <si>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</si>
  <si>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</si>
  <si>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</si>
  <si>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</si>
  <si>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</si>
  <si>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</si>
  <si>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</si>
  <si>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</si>
  <si>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</si>
  <si>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</si>
  <si>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</si>
  <si>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</si>
  <si>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</si>
  <si>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</si>
  <si>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</si>
  <si>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</si>
  <si>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</si>
  <si>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</si>
  <si>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</si>
  <si>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</si>
  <si>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</si>
  <si>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</si>
  <si>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</si>
  <si>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</si>
  <si>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</si>
  <si>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</si>
  <si>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</si>
  <si>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</si>
  <si>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</si>
  <si>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</si>
  <si>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</si>
  <si>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</si>
  <si>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</si>
  <si>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</si>
  <si>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</si>
  <si>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</si>
  <si>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</si>
  <si>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</si>
  <si>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</si>
  <si>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</si>
  <si>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</si>
  <si>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</si>
  <si>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</si>
  <si>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</si>
  <si>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</si>
  <si>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</si>
  <si>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</si>
  <si>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</si>
  <si>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</si>
  <si>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</si>
  <si>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</si>
  <si>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</si>
  <si>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</si>
  <si>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</si>
  <si>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</si>
  <si>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</si>
  <si>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</si>
  <si>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</si>
  <si>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</si>
  <si>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</si>
  <si>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</si>
  <si>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</si>
  <si>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</si>
  <si>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</si>
  <si>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</si>
  <si>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</si>
  <si>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</si>
  <si>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</si>
  <si>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</si>
  <si>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</si>
  <si>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</si>
  <si>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</si>
  <si>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</si>
  <si>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</si>
  <si>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</si>
  <si>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</si>
  <si>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</si>
  <si>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</si>
  <si>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</si>
  <si>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</si>
  <si>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</si>
  <si>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</si>
  <si>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</si>
  <si>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</si>
  <si>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</si>
  <si>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</si>
  <si>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</si>
  <si>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</si>
  <si>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</si>
  <si>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</si>
  <si>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</si>
  <si>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</si>
  <si>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</si>
  <si>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</si>
  <si>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</si>
  <si>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</si>
  <si>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</si>
  <si>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</si>
  <si>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</si>
  <si>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</si>
  <si>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</si>
  <si>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</si>
  <si>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</si>
  <si>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</si>
  <si>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</si>
  <si>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</si>
  <si>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</si>
  <si>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</si>
  <si>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</si>
  <si>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</si>
  <si>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</si>
  <si>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</si>
  <si>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</si>
  <si>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</si>
  <si>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</si>
  <si>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</si>
  <si>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</si>
  <si>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</si>
  <si>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</si>
  <si>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</si>
  <si>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</si>
  <si>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</si>
  <si>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</si>
  <si>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</si>
  <si>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</si>
  <si>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</si>
  <si>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</si>
  <si>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</si>
  <si>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</si>
  <si>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</si>
  <si>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</si>
  <si>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</si>
  <si>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</si>
  <si>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</si>
  <si>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</si>
  <si>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</si>
  <si>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</si>
  <si>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</si>
  <si>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</si>
  <si>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</si>
  <si>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</si>
  <si>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</si>
  <si>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</si>
  <si>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</si>
  <si>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</si>
  <si>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</si>
  <si>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</si>
  <si>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</si>
  <si>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</si>
  <si>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</si>
  <si>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</si>
  <si>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</si>
  <si>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</si>
  <si>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</si>
  <si>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</si>
  <si>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</si>
  <si>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</si>
  <si>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</si>
  <si>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</si>
  <si>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</si>
  <si>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</si>
  <si>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</si>
  <si>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</si>
  <si>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</si>
  <si>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</si>
  <si>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</si>
  <si>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</si>
  <si>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</si>
  <si>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</si>
  <si>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</si>
  <si>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</si>
  <si>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</si>
  <si>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</si>
  <si>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</si>
  <si>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</si>
  <si>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</si>
  <si>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</si>
  <si>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</si>
  <si>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</si>
  <si>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</si>
  <si>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</si>
  <si>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</si>
  <si>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</si>
  <si>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</si>
  <si>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</si>
  <si>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</si>
  <si>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</si>
  <si>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</si>
  <si>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</si>
  <si>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</si>
  <si>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</si>
  <si>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</si>
  <si>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</si>
  <si>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</si>
  <si>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</si>
  <si>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</si>
  <si>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</si>
  <si>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</si>
  <si>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</si>
  <si>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</si>
  <si>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</si>
  <si>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</si>
  <si>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</si>
  <si>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</si>
  <si>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</si>
  <si>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</si>
  <si>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</si>
  <si>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</si>
  <si>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</si>
  <si>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</si>
  <si>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</si>
  <si>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</si>
  <si>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</si>
  <si>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</si>
  <si>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</si>
  <si>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</si>
  <si>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</si>
  <si>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</si>
  <si>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</si>
  <si>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</si>
  <si>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</si>
  <si>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</si>
  <si>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</si>
  <si>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</si>
  <si>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</si>
  <si>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</si>
  <si>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</si>
  <si>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</si>
  <si>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</si>
  <si>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</si>
  <si>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</si>
  <si>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</si>
  <si>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</si>
  <si>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</si>
  <si>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</si>
  <si>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</si>
  <si>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</si>
  <si>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</si>
  <si>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</si>
  <si>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</si>
  <si>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</si>
  <si>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</si>
  <si>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</si>
  <si>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</si>
  <si>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</si>
  <si>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</si>
  <si>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</si>
  <si>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</si>
  <si>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</si>
  <si>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</si>
  <si>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</si>
  <si>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</si>
  <si>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</si>
  <si>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</si>
  <si>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</si>
  <si>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</si>
  <si>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</si>
  <si>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</si>
  <si>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</si>
  <si>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</si>
  <si>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</si>
  <si>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</si>
  <si>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</si>
  <si>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</si>
  <si>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</si>
  <si>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</si>
  <si>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</si>
  <si>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</si>
  <si>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</si>
  <si>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</si>
  <si>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</si>
  <si>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</si>
  <si>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</si>
  <si>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</si>
  <si>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</si>
  <si>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</si>
  <si>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</si>
  <si>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</si>
  <si>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</si>
  <si>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</si>
  <si>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</si>
  <si>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</si>
  <si>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Pivot 1:</t>
  </si>
  <si>
    <t>Summary</t>
  </si>
  <si>
    <t>Values to Display</t>
  </si>
  <si>
    <t>Qty</t>
  </si>
  <si>
    <t>Avg.Rating</t>
  </si>
  <si>
    <t>Avg.Days</t>
  </si>
  <si>
    <t>Pivot 2:</t>
  </si>
  <si>
    <t>Trend in last 13 weeks</t>
  </si>
  <si>
    <t>Row Labels</t>
  </si>
  <si>
    <t>Grand Total</t>
  </si>
  <si>
    <t>Column Labels</t>
  </si>
  <si>
    <t>Female</t>
  </si>
  <si>
    <t>Male</t>
  </si>
  <si>
    <t>Other</t>
  </si>
  <si>
    <t>Unknown</t>
  </si>
  <si>
    <t>Pivot 3:</t>
  </si>
  <si>
    <t>Order mode</t>
  </si>
  <si>
    <t>Pivot 4:</t>
  </si>
  <si>
    <t>6-10</t>
  </si>
  <si>
    <t>More than 10</t>
  </si>
  <si>
    <t>Popular Products</t>
  </si>
  <si>
    <t xml:space="preserve">Count </t>
  </si>
  <si>
    <t>Splitting the quantity based on gender</t>
  </si>
  <si>
    <t>Pivot 5:</t>
  </si>
  <si>
    <t>Customer location</t>
  </si>
  <si>
    <t>Pivot 6:</t>
  </si>
  <si>
    <t>Pivot 7:</t>
  </si>
  <si>
    <t>Customer Satisifcation</t>
  </si>
  <si>
    <t>Jan</t>
  </si>
  <si>
    <t>Feb</t>
  </si>
  <si>
    <t>Mar</t>
  </si>
  <si>
    <t>E-commerce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</si>
</sst>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7" x14ac:knownFonts="1">
    <font>
      <sz val="11"/>
      <color theme="1"/>
      <name val="Aptos Narrow"/>
      <family val="2"/>
      <scheme val="minor"/>
    </font>
    <font>
      <b/>
      <sz val="11"/>
      <color theme="1"/>
      <name val="Aptos Narrow"/>
      <family val="2"/>
      <scheme val="minor"/>
    </font>
    <font>
      <b/>
      <u/>
      <sz val="11"/>
      <color theme="1"/>
      <name val="Aptos Narrow"/>
      <family val="2"/>
      <scheme val="minor"/>
    </font>
    <font>
      <sz val="11"/>
      <color theme="1"/>
      <name val="Aptos Narrow"/>
      <family val="2"/>
      <scheme val="minor"/>
    </font>
    <font>
      <u/>
      <sz val="11"/>
      <color theme="1"/>
      <name val="Aptos Narrow"/>
      <family val="2"/>
      <scheme val="minor"/>
    </font>
    <font>
      <sz val="11"/>
      <color theme="8"/>
      <name val="Aptos Narrow"/>
      <family val="2"/>
      <scheme val="minor"/>
    </font>
    <font>
      <sz val="22"/>
      <color theme="7" tint="-0.249977111117893"/>
      <name val="Aptos Narrow"/>
      <family val="2"/>
      <scheme val="minor"/>
    </font>
  </fonts>
  <fills count="6">
    <fill>
      <patternFill patternType="none"/>
    </fill>
    <fill>
      <patternFill patternType="gray125"/>
    </fill>
    <fill>
      <patternFill patternType="solid">
        <fgColor theme="9"/>
        <bgColor indexed="64"/>
      </patternFill>
    </fill>
    <fill>
      <patternFill patternType="solid">
        <fgColor theme="1"/>
        <bgColor indexed="64"/>
      </patternFill>
    </fill>
    <fill>
      <patternFill patternType="solid">
        <fgColor theme="8" tint="0.59999389629810485"/>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9">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2" fillId="0" borderId="0" xfId="0" applyFont="1"/>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0" fontId="0" fillId="3" borderId="0" xfId="0" applyFill="1"/>
    <xf numFmtId="0" fontId="5" fillId="4" borderId="0" xfId="0" applyFont="1" applyFill="1"/>
    <xf numFmtId="10" fontId="0" fillId="0" borderId="0" xfId="0" applyNumberFormat="1"/>
    <xf numFmtId="165" fontId="0" fillId="0" borderId="0" xfId="1" applyNumberFormat="1" applyFont="1"/>
    <xf numFmtId="0" fontId="5" fillId="5" borderId="0" xfId="0" applyFont="1" applyFill="1" applyAlignment="1">
      <alignment horizontal="center"/>
    </xf>
    <xf numFmtId="0" fontId="4" fillId="0" borderId="0" xfId="0" applyFont="1"/>
    <xf numFmtId="0" fontId="5" fillId="5" borderId="0" xfId="0" applyFont="1" applyFill="1"/>
    <xf numFmtId="0" fontId="6" fillId="5" borderId="0" xfId="0" applyFont="1" applyFill="1" applyAlignment="1">
      <alignment horizontal="left" vertical="center"/>
    </xf>
    <xf numFmtId="0" fontId="5" fillId="5" borderId="0" xfId="0" applyFont="1" applyFill="1" applyAlignment="1">
      <alignment horizontal="left" vertical="center"/>
    </xf>
  </cellXfs>
  <cellStyles count="2">
    <cellStyle name="Normal" xfId="0" builtinId="0"/>
    <cellStyle name="Percent" xfId="1" builtinId="5"/>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[ecommerce-blank.xlsx]Pivots!PivotTable2</c:name>
    <c:fmtId val="8"/>
  </c:pivotSource>
  <c:chart>
    <c:title>
      <c:tx>
        <c:rich>
          <a:bodyPr rot="0" spcFirstLastPara="1" vertOverflow="ellipsis" vert="horz" wrap="square" anchor="ctr" anchorCtr="1"/>
          <a:lstStyle/>
          <a:p>
            <a:pPr>
              <a:defRPr sz="1100" b="1" i="0" u="sng" strike="noStrike" kern="1200" spc="0" baseline="0">
                <a:solidFill>
                  <a:schemeClr val="tx1">
                    <a:lumMod val="65000"/>
                    <a:lumOff val="35000"/>
                  </a:schemeClr>
                </a:solidFill>
                <a:latin typeface="+mn-lt"/>
                <a:ea typeface="+mn-ea"/>
                <a:cs typeface="+mn-cs"/>
              </a:defRPr>
            </a:pPr>
            <a:r>
              <a:rPr lang="en-IN" sz="1100" b="1" u="sng"/>
              <a:t>Last</a:t>
            </a:r>
            <a:r>
              <a:rPr lang="en-IN" sz="1100" b="1" u="sng" baseline="0"/>
              <a:t> 13 weeks trends - Quantity Vs Amount</a:t>
            </a:r>
          </a:p>
        </c:rich>
      </c:tx>
      <c:layout>
        <c:manualLayout>
          <c:xMode val="edge"/>
          <c:yMode val="edge"/>
          <c:x val="2.6010539762341932E-2"/>
          <c:y val="3.484320557491289E-2"/>
        </c:manualLayout>
      </c:layout>
      <c:overlay val="0"/>
      <c:spPr>
        <a:noFill/>
        <a:ln>
          <a:noFill/>
        </a:ln>
        <a:effectLst/>
      </c:spPr>
      <c:txPr>
        <a:bodyPr rot="0" spcFirstLastPara="1" vertOverflow="ellipsis" vert="horz" wrap="square" anchor="ctr" anchorCtr="1"/>
        <a:lstStyle/>
        <a:p>
          <a:pPr>
            <a:defRPr sz="11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circle"/>
          <c:size val="6"/>
          <c:spPr>
            <a:gradFill>
              <a:gsLst>
                <a:gs pos="0">
                  <a:schemeClr val="accent4"/>
                </a:gs>
                <a:gs pos="100000">
                  <a:schemeClr val="accent1">
                    <a:lumMod val="45000"/>
                    <a:lumOff val="55000"/>
                  </a:schemeClr>
                </a:gs>
                <a:gs pos="100000">
                  <a:schemeClr val="accent4">
                    <a:lumMod val="20000"/>
                    <a:lumOff val="80000"/>
                  </a:schemeClr>
                </a:gs>
                <a:gs pos="100000">
                  <a:schemeClr val="accent1">
                    <a:lumMod val="30000"/>
                    <a:lumOff val="70000"/>
                  </a:schemeClr>
                </a:gs>
              </a:gsLst>
              <a:lin ang="5400000" scaled="1"/>
            </a:gra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50000"/>
              </a:schemeClr>
            </a:solidFill>
            <a:round/>
          </a:ln>
          <a:effectLst/>
        </c:spPr>
        <c:marker>
          <c:symbol val="circle"/>
          <c:size val="6"/>
          <c:spPr>
            <a:gradFill>
              <a:gsLst>
                <a:gs pos="0">
                  <a:schemeClr val="accent4"/>
                </a:gs>
                <a:gs pos="100000">
                  <a:schemeClr val="accent1">
                    <a:lumMod val="45000"/>
                    <a:lumOff val="55000"/>
                  </a:schemeClr>
                </a:gs>
                <a:gs pos="100000">
                  <a:schemeClr val="accent4">
                    <a:lumMod val="20000"/>
                    <a:lumOff val="80000"/>
                  </a:schemeClr>
                </a:gs>
                <a:gs pos="100000">
                  <a:schemeClr val="accent1">
                    <a:lumMod val="30000"/>
                    <a:lumOff val="70000"/>
                  </a:schemeClr>
                </a:gs>
              </a:gsLst>
              <a:lin ang="5400000" scaled="1"/>
            </a:gra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circle"/>
          <c:size val="6"/>
          <c:spPr>
            <a:gradFill>
              <a:gsLst>
                <a:gs pos="0">
                  <a:schemeClr val="accent4"/>
                </a:gs>
                <a:gs pos="100000">
                  <a:schemeClr val="accent1">
                    <a:lumMod val="45000"/>
                    <a:lumOff val="55000"/>
                  </a:schemeClr>
                </a:gs>
                <a:gs pos="100000">
                  <a:schemeClr val="accent4">
                    <a:lumMod val="20000"/>
                    <a:lumOff val="80000"/>
                  </a:schemeClr>
                </a:gs>
                <a:gs pos="100000">
                  <a:schemeClr val="accent1">
                    <a:lumMod val="30000"/>
                    <a:lumOff val="70000"/>
                  </a:schemeClr>
                </a:gs>
              </a:gsLst>
              <a:lin ang="5400000" scaled="1"/>
            </a:gra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50000"/>
              </a:schemeClr>
            </a:solidFill>
            <a:round/>
          </a:ln>
          <a:effectLst/>
        </c:spPr>
        <c:marker>
          <c:symbol val="circle"/>
          <c:size val="6"/>
          <c:spPr>
            <a:gradFill>
              <a:gsLst>
                <a:gs pos="0">
                  <a:schemeClr val="accent4"/>
                </a:gs>
                <a:gs pos="100000">
                  <a:schemeClr val="accent1">
                    <a:lumMod val="45000"/>
                    <a:lumOff val="55000"/>
                  </a:schemeClr>
                </a:gs>
                <a:gs pos="100000">
                  <a:schemeClr val="accent4">
                    <a:lumMod val="20000"/>
                    <a:lumOff val="80000"/>
                  </a:schemeClr>
                </a:gs>
                <a:gs pos="100000">
                  <a:schemeClr val="accent1">
                    <a:lumMod val="30000"/>
                    <a:lumOff val="70000"/>
                  </a:schemeClr>
                </a:gs>
              </a:gsLst>
              <a:lin ang="5400000" scaled="1"/>
            </a:gra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circle"/>
          <c:size val="6"/>
          <c:spPr>
            <a:gradFill>
              <a:gsLst>
                <a:gs pos="0">
                  <a:schemeClr val="accent4"/>
                </a:gs>
                <a:gs pos="100000">
                  <a:schemeClr val="accent1">
                    <a:lumMod val="45000"/>
                    <a:lumOff val="55000"/>
                  </a:schemeClr>
                </a:gs>
                <a:gs pos="100000">
                  <a:schemeClr val="accent4">
                    <a:lumMod val="20000"/>
                    <a:lumOff val="80000"/>
                  </a:schemeClr>
                </a:gs>
                <a:gs pos="100000">
                  <a:schemeClr val="accent1">
                    <a:lumMod val="30000"/>
                    <a:lumOff val="70000"/>
                  </a:schemeClr>
                </a:gs>
              </a:gsLst>
              <a:lin ang="5400000" scaled="1"/>
            </a:gra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50000"/>
              </a:schemeClr>
            </a:solidFill>
            <a:round/>
          </a:ln>
          <a:effectLst/>
        </c:spPr>
        <c:marker>
          <c:symbol val="circle"/>
          <c:size val="6"/>
          <c:spPr>
            <a:gradFill>
              <a:gsLst>
                <a:gs pos="0">
                  <a:schemeClr val="accent4"/>
                </a:gs>
                <a:gs pos="100000">
                  <a:schemeClr val="accent1">
                    <a:lumMod val="45000"/>
                    <a:lumOff val="55000"/>
                  </a:schemeClr>
                </a:gs>
                <a:gs pos="100000">
                  <a:schemeClr val="accent4">
                    <a:lumMod val="20000"/>
                    <a:lumOff val="80000"/>
                  </a:schemeClr>
                </a:gs>
                <a:gs pos="100000">
                  <a:schemeClr val="accent1">
                    <a:lumMod val="30000"/>
                    <a:lumOff val="70000"/>
                  </a:schemeClr>
                </a:gs>
              </a:gsLst>
              <a:lin ang="5400000" scaled="1"/>
            </a:gra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Pivots!$B$13</c:f>
              <c:strCache>
                <c:ptCount val="1"/>
                <c:pt idx="0">
                  <c:v>Sum of Quantity</c:v>
                </c:pt>
              </c:strCache>
            </c:strRef>
          </c:tx>
          <c:spPr>
            <a:ln w="28575" cap="rnd">
              <a:solidFill>
                <a:schemeClr val="accent6">
                  <a:lumMod val="75000"/>
                </a:schemeClr>
              </a:solidFill>
              <a:round/>
            </a:ln>
            <a:effectLst/>
          </c:spPr>
          <c:marker>
            <c:symbol val="circle"/>
            <c:size val="6"/>
            <c:spPr>
              <a:gradFill>
                <a:gsLst>
                  <a:gs pos="0">
                    <a:schemeClr val="accent4"/>
                  </a:gs>
                  <a:gs pos="100000">
                    <a:schemeClr val="accent1">
                      <a:lumMod val="45000"/>
                      <a:lumOff val="55000"/>
                    </a:schemeClr>
                  </a:gs>
                  <a:gs pos="100000">
                    <a:schemeClr val="accent4">
                      <a:lumMod val="20000"/>
                      <a:lumOff val="80000"/>
                    </a:schemeClr>
                  </a:gs>
                  <a:gs pos="100000">
                    <a:schemeClr val="accent1">
                      <a:lumMod val="30000"/>
                      <a:lumOff val="70000"/>
                    </a:schemeClr>
                  </a:gs>
                </a:gsLst>
                <a:lin ang="5400000" scaled="1"/>
              </a:gradFill>
              <a:ln w="9525">
                <a:noFill/>
              </a:ln>
              <a:effectLst/>
            </c:spPr>
          </c:marker>
          <c:cat>
            <c:strRef>
              <c:f>Pivots!$A$14:$A$27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Pivots!$B$14:$B$27</c:f>
              <c:numCache>
                <c:formatCode>General</c:formatCode>
                <c:ptCount val="13"/>
                <c:pt idx="0">
                  <c:v>211</c:v>
                </c:pt>
                <c:pt idx="1">
                  <c:v>304</c:v>
                </c:pt>
                <c:pt idx="2">
                  <c:v>262</c:v>
                </c:pt>
                <c:pt idx="3">
                  <c:v>265</c:v>
                </c:pt>
                <c:pt idx="4">
                  <c:v>315</c:v>
                </c:pt>
                <c:pt idx="5">
                  <c:v>448</c:v>
                </c:pt>
                <c:pt idx="6">
                  <c:v>339</c:v>
                </c:pt>
                <c:pt idx="7">
                  <c:v>393</c:v>
                </c:pt>
                <c:pt idx="8">
                  <c:v>434</c:v>
                </c:pt>
                <c:pt idx="9">
                  <c:v>413</c:v>
                </c:pt>
                <c:pt idx="10">
                  <c:v>280</c:v>
                </c:pt>
                <c:pt idx="11">
                  <c:v>297</c:v>
                </c:pt>
                <c:pt idx="12">
                  <c:v>259</c:v>
                </c:pt>
              </c:numCache>
            </c:numRef>
          </c:val>
          <c:smooth val="0"/>
          <c:extLst>
            <c:ext xmlns:c16="http://schemas.microsoft.com/office/drawing/2014/chart" uri="{C3380CC4-5D6E-409C-BE32-E72D297353CC}">
              <c16:uniqueId val="{00000000-6759-48D3-AC8F-5C457AB6B177}"/>
            </c:ext>
          </c:extLst>
        </c:ser>
        <c:dLbls>
          <c:showLegendKey val="0"/>
          <c:showVal val="0"/>
          <c:showCatName val="0"/>
          <c:showSerName val="0"/>
          <c:showPercent val="0"/>
          <c:showBubbleSize val="0"/>
        </c:dLbls>
        <c:marker val="1"/>
        <c:smooth val="0"/>
        <c:axId val="1063478704"/>
        <c:axId val="1063477744"/>
      </c:lineChart>
      <c:lineChart>
        <c:grouping val="stacked"/>
        <c:varyColors val="0"/>
        <c:ser>
          <c:idx val="1"/>
          <c:order val="1"/>
          <c:tx>
            <c:strRef>
              <c:f>Pivots!$C$13</c:f>
              <c:strCache>
                <c:ptCount val="1"/>
                <c:pt idx="0">
                  <c:v>Sum of Amount</c:v>
                </c:pt>
              </c:strCache>
            </c:strRef>
          </c:tx>
          <c:spPr>
            <a:ln w="28575" cap="rnd">
              <a:solidFill>
                <a:schemeClr val="accent6">
                  <a:lumMod val="50000"/>
                </a:schemeClr>
              </a:solidFill>
              <a:round/>
            </a:ln>
            <a:effectLst/>
          </c:spPr>
          <c:marker>
            <c:symbol val="circle"/>
            <c:size val="6"/>
            <c:spPr>
              <a:gradFill>
                <a:gsLst>
                  <a:gs pos="0">
                    <a:schemeClr val="accent4"/>
                  </a:gs>
                  <a:gs pos="100000">
                    <a:schemeClr val="accent1">
                      <a:lumMod val="45000"/>
                      <a:lumOff val="55000"/>
                    </a:schemeClr>
                  </a:gs>
                  <a:gs pos="100000">
                    <a:schemeClr val="accent4">
                      <a:lumMod val="20000"/>
                      <a:lumOff val="80000"/>
                    </a:schemeClr>
                  </a:gs>
                  <a:gs pos="100000">
                    <a:schemeClr val="accent1">
                      <a:lumMod val="30000"/>
                      <a:lumOff val="70000"/>
                    </a:schemeClr>
                  </a:gs>
                </a:gsLst>
                <a:lin ang="5400000" scaled="1"/>
              </a:gradFill>
              <a:ln w="9525">
                <a:noFill/>
              </a:ln>
              <a:effectLst/>
            </c:spPr>
          </c:marker>
          <c:cat>
            <c:strRef>
              <c:f>Pivots!$A$14:$A$27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Pivots!$C$14:$C$27</c:f>
              <c:numCache>
                <c:formatCode>[$$-409]#,##0</c:formatCode>
                <c:ptCount val="13"/>
                <c:pt idx="0">
                  <c:v>11642</c:v>
                </c:pt>
                <c:pt idx="1">
                  <c:v>17823.7</c:v>
                </c:pt>
                <c:pt idx="2">
                  <c:v>12389.9</c:v>
                </c:pt>
                <c:pt idx="3">
                  <c:v>15169.500000000004</c:v>
                </c:pt>
                <c:pt idx="4">
                  <c:v>15742.1</c:v>
                </c:pt>
                <c:pt idx="5">
                  <c:v>22307.799999999996</c:v>
                </c:pt>
                <c:pt idx="6">
                  <c:v>17440.099999999995</c:v>
                </c:pt>
                <c:pt idx="7">
                  <c:v>18864.500000000004</c:v>
                </c:pt>
                <c:pt idx="8">
                  <c:v>25660.899999999994</c:v>
                </c:pt>
                <c:pt idx="9">
                  <c:v>21198.799999999999</c:v>
                </c:pt>
                <c:pt idx="10">
                  <c:v>14714.600000000008</c:v>
                </c:pt>
                <c:pt idx="11">
                  <c:v>17761.400000000001</c:v>
                </c:pt>
                <c:pt idx="12">
                  <c:v>18678.2</c:v>
                </c:pt>
              </c:numCache>
            </c:numRef>
          </c:val>
          <c:smooth val="0"/>
          <c:extLst>
            <c:ext xmlns:c16="http://schemas.microsoft.com/office/drawing/2014/chart" uri="{C3380CC4-5D6E-409C-BE32-E72D297353CC}">
              <c16:uniqueId val="{00000001-6759-48D3-AC8F-5C457AB6B177}"/>
            </c:ext>
          </c:extLst>
        </c:ser>
        <c:dLbls>
          <c:showLegendKey val="0"/>
          <c:showVal val="0"/>
          <c:showCatName val="0"/>
          <c:showSerName val="0"/>
          <c:showPercent val="0"/>
          <c:showBubbleSize val="0"/>
        </c:dLbls>
        <c:marker val="1"/>
        <c:smooth val="0"/>
        <c:axId val="1139475376"/>
        <c:axId val="1139484976"/>
      </c:lineChart>
      <c:catAx>
        <c:axId val="1063478704"/>
        <c:scaling>
          <c:orientation val="minMax"/>
        </c:scaling>
        <c:delete val="1"/>
        <c:axPos val="b"/>
        <c:numFmt formatCode="General" sourceLinked="1"/>
        <c:majorTickMark val="none"/>
        <c:minorTickMark val="none"/>
        <c:tickLblPos val="nextTo"/>
        <c:crossAx val="1063477744"/>
        <c:crosses val="autoZero"/>
        <c:auto val="1"/>
        <c:lblAlgn val="ctr"/>
        <c:lblOffset val="100"/>
        <c:noMultiLvlLbl val="0"/>
      </c:catAx>
      <c:valAx>
        <c:axId val="106347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478704"/>
        <c:crosses val="autoZero"/>
        <c:crossBetween val="between"/>
        <c:majorUnit val="400"/>
      </c:valAx>
      <c:valAx>
        <c:axId val="1139484976"/>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475376"/>
        <c:crosses val="max"/>
        <c:crossBetween val="between"/>
      </c:valAx>
      <c:catAx>
        <c:axId val="1139475376"/>
        <c:scaling>
          <c:orientation val="minMax"/>
        </c:scaling>
        <c:delete val="1"/>
        <c:axPos val="b"/>
        <c:numFmt formatCode="General" sourceLinked="1"/>
        <c:majorTickMark val="out"/>
        <c:minorTickMark val="none"/>
        <c:tickLblPos val="nextTo"/>
        <c:crossAx val="11394849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[ecommerce-blank.xlsx]How they like to buy!PivotTable4</c:name>
    <c:fmtId val="4"/>
  </c:pivotSource>
  <c:chart>
    <c:title>
      <c:tx>
        <c:rich>
          <a:bodyPr rot="0" spcFirstLastPara="1" vertOverflow="ellipsis" vert="horz" wrap="square" anchor="ctr" anchorCtr="1"/>
          <a:lstStyle/>
          <a:p>
            <a:pPr>
              <a:defRPr sz="1100" b="0" i="0" u="sng" strike="noStrike" kern="1200" spc="0" baseline="0">
                <a:solidFill>
                  <a:schemeClr val="tx1">
                    <a:lumMod val="65000"/>
                    <a:lumOff val="35000"/>
                  </a:schemeClr>
                </a:solidFill>
                <a:latin typeface="+mn-lt"/>
                <a:ea typeface="+mn-ea"/>
                <a:cs typeface="+mn-cs"/>
              </a:defRPr>
            </a:pPr>
            <a:r>
              <a:rPr lang="en-US" sz="1100" b="1" u="sng">
                <a:latin typeface="+mn-lt"/>
              </a:rPr>
              <a:t>How</a:t>
            </a:r>
            <a:r>
              <a:rPr lang="en-US" sz="1100" b="1" u="sng" baseline="0">
                <a:latin typeface="+mn-lt"/>
              </a:rPr>
              <a:t> many they buy?</a:t>
            </a:r>
            <a:endParaRPr lang="en-US" sz="1100" b="1" u="sng">
              <a:latin typeface="+mn-lt"/>
            </a:endParaRPr>
          </a:p>
        </c:rich>
      </c:tx>
      <c:layout>
        <c:manualLayout>
          <c:xMode val="edge"/>
          <c:yMode val="edge"/>
          <c:x val="4.927077865266842E-2"/>
          <c:y val="2.7777777777777776E-2"/>
        </c:manualLayout>
      </c:layout>
      <c:overlay val="0"/>
      <c:spPr>
        <a:noFill/>
        <a:ln>
          <a:noFill/>
        </a:ln>
        <a:effectLst/>
      </c:spPr>
      <c:txPr>
        <a:bodyPr rot="0" spcFirstLastPara="1" vertOverflow="ellipsis" vert="horz" wrap="square" anchor="ctr" anchorCtr="1"/>
        <a:lstStyle/>
        <a:p>
          <a:pPr>
            <a:defRPr sz="11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90000">
                        <a:schemeClr val="tx1">
                          <a:alpha val="64000"/>
                        </a:schemeClr>
                      </a:gs>
                      <a:gs pos="100000">
                        <a:schemeClr val="accent1">
                          <a:lumMod val="45000"/>
                          <a:lumOff val="55000"/>
                        </a:schemeClr>
                      </a:gs>
                      <a:gs pos="100000">
                        <a:schemeClr val="accent4">
                          <a:lumMod val="20000"/>
                          <a:lumOff val="80000"/>
                        </a:schemeClr>
                      </a:gs>
                      <a:gs pos="100000">
                        <a:schemeClr val="accent6">
                          <a:lumMod val="75000"/>
                        </a:schemeClr>
                      </a:gs>
                    </a:gsLst>
                    <a:lin ang="5400000" scaled="1"/>
                  </a:gra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90000">
                        <a:schemeClr val="tx1">
                          <a:alpha val="64000"/>
                        </a:schemeClr>
                      </a:gs>
                      <a:gs pos="100000">
                        <a:schemeClr val="accent1">
                          <a:lumMod val="45000"/>
                          <a:lumOff val="55000"/>
                        </a:schemeClr>
                      </a:gs>
                      <a:gs pos="100000">
                        <a:schemeClr val="accent4">
                          <a:lumMod val="20000"/>
                          <a:lumOff val="80000"/>
                        </a:schemeClr>
                      </a:gs>
                      <a:gs pos="100000">
                        <a:schemeClr val="accent6">
                          <a:lumMod val="75000"/>
                        </a:schemeClr>
                      </a:gs>
                    </a:gsLst>
                    <a:lin ang="5400000" scaled="1"/>
                  </a:gra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alpha val="7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'How they like to buy'!$B$17</c:f>
              <c:strCache>
                <c:ptCount val="1"/>
                <c:pt idx="0">
                  <c:v>Total</c:v>
                </c:pt>
              </c:strCache>
            </c:strRef>
          </c:tx>
          <c:spPr>
            <a:solidFill>
              <a:schemeClr val="accent6">
                <a:lumMod val="75000"/>
                <a:alpha val="79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'How they like to buy'!$A$18:$A$25</c:f>
              <c:strCache>
                <c:ptCount val="7"/>
                <c:pt idx="0">
                  <c:v>1</c:v>
                </c:pt>
                <c:pt idx="1">
                  <c:v>2</c:v>
                </c:pt>
                <c:pt idx="2">
                  <c:v>3</c:v>
                </c:pt>
                <c:pt idx="3">
                  <c:v>4</c:v>
                </c:pt>
                <c:pt idx="4">
                  <c:v>5</c:v>
                </c:pt>
                <c:pt idx="5">
                  <c:v>6-10</c:v>
                </c:pt>
                <c:pt idx="6">
                  <c:v>More than 10</c:v>
                </c:pt>
              </c:strCache>
            </c:strRef>
          </c:cat>
          <c:val>
            <c:numRef>
              <c:f>'How they like to buy'!$B$18:$B$25</c:f>
              <c:numCache>
                <c:formatCode>General</c:formatCode>
                <c:ptCount val="7"/>
                <c:pt idx="0">
                  <c:v>166</c:v>
                </c:pt>
                <c:pt idx="1">
                  <c:v>197</c:v>
                </c:pt>
                <c:pt idx="2">
                  <c:v>123</c:v>
                </c:pt>
                <c:pt idx="3">
                  <c:v>87</c:v>
                </c:pt>
                <c:pt idx="4">
                  <c:v>77</c:v>
                </c:pt>
                <c:pt idx="5">
                  <c:v>134</c:v>
                </c:pt>
                <c:pt idx="6">
                  <c:v>84</c:v>
                </c:pt>
              </c:numCache>
            </c:numRef>
          </c:val>
          <c:extLst>
            <c:ext xmlns:c16="http://schemas.microsoft.com/office/drawing/2014/chart" uri="{C3380CC4-5D6E-409C-BE32-E72D297353CC}">
              <c16:uniqueId val="{00000000-60E7-4CAC-A024-65796E75E940}"/>
            </c:ext>
          </c:extLst>
        </c:ser>
        <c:dLbls>
          <c:dLblPos val="outEnd"/>
          <c:showLegendKey val="0"/>
          <c:showVal val="1"/>
          <c:showCatName val="0"/>
          <c:showSerName val="0"/>
          <c:showPercent val="0"/>
          <c:showBubbleSize val="0"/>
        </c:dLbls>
        <c:gapWidth val="31"/>
        <c:overlap val="-27"/>
        <c:axId val="1175958160"/>
        <c:axId val="1194859072"/>
      </c:barChart>
      <c:catAx>
        <c:axId val="117595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859072"/>
        <c:crosses val="autoZero"/>
        <c:auto val="1"/>
        <c:lblAlgn val="ctr"/>
        <c:lblOffset val="100"/>
        <c:noMultiLvlLbl val="0"/>
      </c:catAx>
      <c:valAx>
        <c:axId val="1194859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95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[ecommerce-blank.xlsx]Pivots!PivotTable5</c:name>
    <c:fmtId val="26"/>
  </c:pivotSource>
  <c:chart>
    <c:autoTitleDeleted val="0"/>
    <c:pivotFmts>
      <c:pivotFmt>
        <c:idx val="0"/>
        <c:spPr>
          <a:solidFill>
            <a:schemeClr val="accent6">
              <a:lumMod val="75000"/>
              <a:alpha val="79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lumMod val="75000"/>
              <a:alpha val="79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75000"/>
              <a:alpha val="79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lumMod val="75000"/>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lumMod val="75000"/>
              <a:alpha val="79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lumMod val="75000"/>
              <a:alpha val="79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4">
              <a:lumMod val="75000"/>
              <a:alpha val="79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3">
              <a:lumMod val="75000"/>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3">
              <a:lumMod val="75000"/>
              <a:alpha val="7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alpha val="7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alpha val="7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Pivots!$B$35:$B$36</c:f>
              <c:strCache>
                <c:ptCount val="1"/>
                <c:pt idx="0">
                  <c:v>Unknown</c:v>
                </c:pt>
              </c:strCache>
            </c:strRef>
          </c:tx>
          <c:spPr>
            <a:solidFill>
              <a:schemeClr val="accent3">
                <a:lumMod val="75000"/>
                <a:alpha val="79000"/>
              </a:schemeClr>
            </a:solidFill>
            <a:ln>
              <a:noFill/>
            </a:ln>
            <a:effectLst/>
          </c:spPr>
          <c:invertIfNegative val="0"/>
          <c:cat>
            <c:strRef>
              <c:f>Pivots!$A$37:$A$57</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Pivots!$B$37:$B$57</c:f>
              <c:numCache>
                <c:formatCode>General</c:formatCode>
                <c:ptCount val="20"/>
                <c:pt idx="0">
                  <c:v>69</c:v>
                </c:pt>
                <c:pt idx="1">
                  <c:v>32</c:v>
                </c:pt>
                <c:pt idx="2">
                  <c:v>84</c:v>
                </c:pt>
                <c:pt idx="3">
                  <c:v>12</c:v>
                </c:pt>
                <c:pt idx="4">
                  <c:v>4</c:v>
                </c:pt>
                <c:pt idx="5">
                  <c:v>1</c:v>
                </c:pt>
                <c:pt idx="6">
                  <c:v>1</c:v>
                </c:pt>
                <c:pt idx="8">
                  <c:v>8</c:v>
                </c:pt>
                <c:pt idx="9">
                  <c:v>3</c:v>
                </c:pt>
                <c:pt idx="10">
                  <c:v>3</c:v>
                </c:pt>
                <c:pt idx="11">
                  <c:v>6</c:v>
                </c:pt>
                <c:pt idx="12">
                  <c:v>6</c:v>
                </c:pt>
                <c:pt idx="13">
                  <c:v>14</c:v>
                </c:pt>
                <c:pt idx="17">
                  <c:v>6</c:v>
                </c:pt>
                <c:pt idx="18">
                  <c:v>12</c:v>
                </c:pt>
              </c:numCache>
            </c:numRef>
          </c:val>
          <c:extLst>
            <c:ext xmlns:c16="http://schemas.microsoft.com/office/drawing/2014/chart" uri="{C3380CC4-5D6E-409C-BE32-E72D297353CC}">
              <c16:uniqueId val="{00000000-960E-492A-A7C7-1E74B519015E}"/>
            </c:ext>
          </c:extLst>
        </c:ser>
        <c:ser>
          <c:idx val="1"/>
          <c:order val="1"/>
          <c:tx>
            <c:strRef>
              <c:f>Pivots!$C$35:$C$36</c:f>
              <c:strCache>
                <c:ptCount val="1"/>
                <c:pt idx="0">
                  <c:v>Other</c:v>
                </c:pt>
              </c:strCache>
            </c:strRef>
          </c:tx>
          <c:spPr>
            <a:solidFill>
              <a:schemeClr val="accent5">
                <a:lumMod val="75000"/>
                <a:alpha val="79000"/>
              </a:schemeClr>
            </a:solidFill>
            <a:ln>
              <a:noFill/>
            </a:ln>
            <a:effectLst/>
          </c:spPr>
          <c:invertIfNegative val="0"/>
          <c:cat>
            <c:strRef>
              <c:f>Pivots!$A$37:$A$57</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Pivots!$C$37:$C$57</c:f>
              <c:numCache>
                <c:formatCode>General</c:formatCode>
                <c:ptCount val="20"/>
                <c:pt idx="0">
                  <c:v>10</c:v>
                </c:pt>
                <c:pt idx="1">
                  <c:v>27</c:v>
                </c:pt>
                <c:pt idx="2">
                  <c:v>13</c:v>
                </c:pt>
                <c:pt idx="4">
                  <c:v>7</c:v>
                </c:pt>
                <c:pt idx="6">
                  <c:v>15</c:v>
                </c:pt>
                <c:pt idx="8">
                  <c:v>7</c:v>
                </c:pt>
                <c:pt idx="9">
                  <c:v>8</c:v>
                </c:pt>
                <c:pt idx="11">
                  <c:v>6</c:v>
                </c:pt>
                <c:pt idx="13">
                  <c:v>4</c:v>
                </c:pt>
                <c:pt idx="14">
                  <c:v>3</c:v>
                </c:pt>
                <c:pt idx="15">
                  <c:v>4</c:v>
                </c:pt>
                <c:pt idx="17">
                  <c:v>8</c:v>
                </c:pt>
                <c:pt idx="19">
                  <c:v>2</c:v>
                </c:pt>
              </c:numCache>
            </c:numRef>
          </c:val>
          <c:extLst>
            <c:ext xmlns:c16="http://schemas.microsoft.com/office/drawing/2014/chart" uri="{C3380CC4-5D6E-409C-BE32-E72D297353CC}">
              <c16:uniqueId val="{00000001-960E-492A-A7C7-1E74B519015E}"/>
            </c:ext>
          </c:extLst>
        </c:ser>
        <c:ser>
          <c:idx val="2"/>
          <c:order val="2"/>
          <c:tx>
            <c:strRef>
              <c:f>Pivots!$D$35:$D$36</c:f>
              <c:strCache>
                <c:ptCount val="1"/>
                <c:pt idx="0">
                  <c:v>Male</c:v>
                </c:pt>
              </c:strCache>
            </c:strRef>
          </c:tx>
          <c:spPr>
            <a:solidFill>
              <a:schemeClr val="accent4">
                <a:lumMod val="75000"/>
                <a:alpha val="79000"/>
              </a:schemeClr>
            </a:solidFill>
            <a:ln>
              <a:noFill/>
            </a:ln>
            <a:effectLst/>
          </c:spPr>
          <c:invertIfNegative val="0"/>
          <c:cat>
            <c:strRef>
              <c:f>Pivots!$A$37:$A$57</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Pivots!$D$37:$D$57</c:f>
              <c:numCache>
                <c:formatCode>General</c:formatCode>
                <c:ptCount val="20"/>
                <c:pt idx="0">
                  <c:v>149</c:v>
                </c:pt>
                <c:pt idx="1">
                  <c:v>203</c:v>
                </c:pt>
                <c:pt idx="2">
                  <c:v>131</c:v>
                </c:pt>
                <c:pt idx="3">
                  <c:v>140</c:v>
                </c:pt>
                <c:pt idx="4">
                  <c:v>76</c:v>
                </c:pt>
                <c:pt idx="5">
                  <c:v>101</c:v>
                </c:pt>
                <c:pt idx="6">
                  <c:v>176</c:v>
                </c:pt>
                <c:pt idx="7">
                  <c:v>151</c:v>
                </c:pt>
                <c:pt idx="8">
                  <c:v>63</c:v>
                </c:pt>
                <c:pt idx="9">
                  <c:v>60</c:v>
                </c:pt>
                <c:pt idx="10">
                  <c:v>73</c:v>
                </c:pt>
                <c:pt idx="11">
                  <c:v>45</c:v>
                </c:pt>
                <c:pt idx="12">
                  <c:v>61</c:v>
                </c:pt>
                <c:pt idx="13">
                  <c:v>46</c:v>
                </c:pt>
                <c:pt idx="14">
                  <c:v>30</c:v>
                </c:pt>
                <c:pt idx="15">
                  <c:v>39</c:v>
                </c:pt>
                <c:pt idx="16">
                  <c:v>29</c:v>
                </c:pt>
                <c:pt idx="17">
                  <c:v>32</c:v>
                </c:pt>
              </c:numCache>
            </c:numRef>
          </c:val>
          <c:extLst>
            <c:ext xmlns:c16="http://schemas.microsoft.com/office/drawing/2014/chart" uri="{C3380CC4-5D6E-409C-BE32-E72D297353CC}">
              <c16:uniqueId val="{00000002-960E-492A-A7C7-1E74B519015E}"/>
            </c:ext>
          </c:extLst>
        </c:ser>
        <c:ser>
          <c:idx val="3"/>
          <c:order val="3"/>
          <c:tx>
            <c:strRef>
              <c:f>Pivots!$E$35:$E$36</c:f>
              <c:strCache>
                <c:ptCount val="1"/>
                <c:pt idx="0">
                  <c:v>Female</c:v>
                </c:pt>
              </c:strCache>
            </c:strRef>
          </c:tx>
          <c:spPr>
            <a:solidFill>
              <a:schemeClr val="accent6">
                <a:lumMod val="75000"/>
                <a:alpha val="70000"/>
              </a:schemeClr>
            </a:solidFill>
            <a:ln>
              <a:noFill/>
            </a:ln>
            <a:effectLst/>
          </c:spPr>
          <c:invertIfNegative val="0"/>
          <c:cat>
            <c:strRef>
              <c:f>Pivots!$A$37:$A$57</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Pivots!$E$37:$E$57</c:f>
              <c:numCache>
                <c:formatCode>General</c:formatCode>
                <c:ptCount val="20"/>
                <c:pt idx="0">
                  <c:v>318</c:v>
                </c:pt>
                <c:pt idx="1">
                  <c:v>240</c:v>
                </c:pt>
                <c:pt idx="2">
                  <c:v>266</c:v>
                </c:pt>
                <c:pt idx="3">
                  <c:v>163</c:v>
                </c:pt>
                <c:pt idx="4">
                  <c:v>192</c:v>
                </c:pt>
                <c:pt idx="5">
                  <c:v>152</c:v>
                </c:pt>
                <c:pt idx="6">
                  <c:v>61</c:v>
                </c:pt>
                <c:pt idx="7">
                  <c:v>96</c:v>
                </c:pt>
                <c:pt idx="8">
                  <c:v>164</c:v>
                </c:pt>
                <c:pt idx="9">
                  <c:v>152</c:v>
                </c:pt>
                <c:pt idx="10">
                  <c:v>116</c:v>
                </c:pt>
                <c:pt idx="11">
                  <c:v>84</c:v>
                </c:pt>
                <c:pt idx="12">
                  <c:v>72</c:v>
                </c:pt>
                <c:pt idx="13">
                  <c:v>39</c:v>
                </c:pt>
                <c:pt idx="14">
                  <c:v>37</c:v>
                </c:pt>
                <c:pt idx="15">
                  <c:v>22</c:v>
                </c:pt>
                <c:pt idx="16">
                  <c:v>35</c:v>
                </c:pt>
                <c:pt idx="17">
                  <c:v>11</c:v>
                </c:pt>
                <c:pt idx="18">
                  <c:v>17</c:v>
                </c:pt>
                <c:pt idx="19">
                  <c:v>3</c:v>
                </c:pt>
              </c:numCache>
            </c:numRef>
          </c:val>
          <c:extLst>
            <c:ext xmlns:c16="http://schemas.microsoft.com/office/drawing/2014/chart" uri="{C3380CC4-5D6E-409C-BE32-E72D297353CC}">
              <c16:uniqueId val="{00000003-960E-492A-A7C7-1E74B519015E}"/>
            </c:ext>
          </c:extLst>
        </c:ser>
        <c:dLbls>
          <c:showLegendKey val="0"/>
          <c:showVal val="0"/>
          <c:showCatName val="0"/>
          <c:showSerName val="0"/>
          <c:showPercent val="0"/>
          <c:showBubbleSize val="0"/>
        </c:dLbls>
        <c:gapWidth val="39"/>
        <c:overlap val="100"/>
        <c:axId val="1483188208"/>
        <c:axId val="1483188688"/>
      </c:barChart>
      <c:catAx>
        <c:axId val="1483188208"/>
        <c:scaling>
          <c:orientation val="maxMin"/>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188688"/>
        <c:crosses val="autoZero"/>
        <c:auto val="1"/>
        <c:lblAlgn val="ctr"/>
        <c:lblOffset val="100"/>
        <c:noMultiLvlLbl val="0"/>
      </c:catAx>
      <c:valAx>
        <c:axId val="1483188688"/>
        <c:scaling>
          <c:orientation val="minMax"/>
        </c:scaling>
        <c:delete val="0"/>
        <c:axPos val="t"/>
        <c:title>
          <c:tx>
            <c:rich>
              <a:bodyPr rot="0" spcFirstLastPara="1" vertOverflow="ellipsis" vert="horz" wrap="square" anchor="ctr" anchorCtr="1"/>
              <a:lstStyle/>
              <a:p>
                <a:pPr>
                  <a:defRPr sz="1100" b="1" i="0" u="sng" strike="noStrike" kern="1200" baseline="0">
                    <a:solidFill>
                      <a:schemeClr val="tx1">
                        <a:lumMod val="65000"/>
                        <a:lumOff val="35000"/>
                      </a:schemeClr>
                    </a:solidFill>
                    <a:latin typeface="+mn-lt"/>
                    <a:ea typeface="+mn-ea"/>
                    <a:cs typeface="+mn-cs"/>
                  </a:defRPr>
                </a:pPr>
                <a:r>
                  <a:rPr lang="en-IN" sz="1100" b="1" u="sng"/>
                  <a:t>Top products</a:t>
                </a:r>
              </a:p>
            </c:rich>
          </c:tx>
          <c:layout>
            <c:manualLayout>
              <c:xMode val="edge"/>
              <c:yMode val="edge"/>
              <c:x val="9.1270088566459087E-2"/>
              <c:y val="1.4177692706659965E-2"/>
            </c:manualLayout>
          </c:layout>
          <c:overlay val="0"/>
          <c:spPr>
            <a:noFill/>
            <a:ln>
              <a:noFill/>
            </a:ln>
            <a:effectLst/>
          </c:spPr>
          <c:txPr>
            <a:bodyPr rot="0" spcFirstLastPara="1" vertOverflow="ellipsis" vert="horz" wrap="square" anchor="ctr" anchorCtr="1"/>
            <a:lstStyle/>
            <a:p>
              <a:pPr>
                <a:defRPr sz="1100" b="1" i="0" u="sng"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18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softEdge rad="889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[ecommerce-blank.xlsx]Pivots!PivotTable6</c:name>
    <c:fmtId val="33"/>
  </c:pivotSource>
  <c:chart>
    <c:title>
      <c:tx>
        <c:rich>
          <a:bodyPr rot="0" spcFirstLastPara="1" vertOverflow="ellipsis" vert="horz" wrap="square" anchor="ctr" anchorCtr="1"/>
          <a:lstStyle/>
          <a:p>
            <a:pPr>
              <a:defRPr sz="1100" b="1" i="0" u="sng" strike="noStrike" kern="1200" spc="0" baseline="0">
                <a:solidFill>
                  <a:schemeClr val="tx1">
                    <a:lumMod val="65000"/>
                    <a:lumOff val="35000"/>
                  </a:schemeClr>
                </a:solidFill>
                <a:latin typeface="+mn-lt"/>
                <a:ea typeface="+mn-ea"/>
                <a:cs typeface="+mn-cs"/>
              </a:defRPr>
            </a:pPr>
            <a:r>
              <a:rPr lang="en-US" sz="1100" b="1" u="sng"/>
              <a:t>By</a:t>
            </a:r>
            <a:r>
              <a:rPr lang="en-US" sz="1100" b="1" u="sng" baseline="0"/>
              <a:t> gender</a:t>
            </a:r>
            <a:endParaRPr lang="en-US" sz="1100" b="1" u="sng"/>
          </a:p>
        </c:rich>
      </c:tx>
      <c:layout>
        <c:manualLayout>
          <c:xMode val="edge"/>
          <c:yMode val="edge"/>
          <c:x val="9.3715223097112874E-2"/>
          <c:y val="4.1666666666666664E-2"/>
        </c:manualLayout>
      </c:layout>
      <c:overlay val="0"/>
      <c:spPr>
        <a:noFill/>
        <a:ln>
          <a:noFill/>
        </a:ln>
        <a:effectLst/>
      </c:spPr>
      <c:txPr>
        <a:bodyPr rot="0" spcFirstLastPara="1" vertOverflow="ellipsis" vert="horz" wrap="square" anchor="ctr" anchorCtr="1"/>
        <a:lstStyle/>
        <a:p>
          <a:pPr>
            <a:defRPr sz="11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alpha val="78000"/>
            </a:schemeClr>
          </a:solidFill>
          <a:ln w="19050">
            <a:solidFill>
              <a:schemeClr val="lt1"/>
            </a:solidFill>
          </a:ln>
          <a:effectLst/>
        </c:spPr>
        <c:dLbl>
          <c:idx val="0"/>
          <c:layout>
            <c:manualLayout>
              <c:x val="7.777777777777777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alpha val="79000"/>
            </a:schemeClr>
          </a:solidFill>
          <a:ln w="19050">
            <a:solidFill>
              <a:schemeClr val="lt1"/>
            </a:solidFill>
          </a:ln>
          <a:effectLst/>
        </c:spPr>
        <c:dLbl>
          <c:idx val="0"/>
          <c:layout>
            <c:manualLayout>
              <c:x val="1.6666666666666666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alpha val="79000"/>
            </a:schemeClr>
          </a:solidFill>
          <a:ln w="19050">
            <a:solidFill>
              <a:schemeClr val="lt1"/>
            </a:solidFill>
          </a:ln>
          <a:effectLst/>
        </c:spPr>
        <c:dLbl>
          <c:idx val="0"/>
          <c:layout>
            <c:manualLayout>
              <c:x val="-3.6111111111111163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75000"/>
              <a:alpha val="79000"/>
            </a:schemeClr>
          </a:solidFill>
          <a:ln w="19050">
            <a:solidFill>
              <a:schemeClr val="lt1"/>
            </a:solidFill>
          </a:ln>
          <a:effectLst/>
        </c:spPr>
        <c:dLbl>
          <c:idx val="0"/>
          <c:layout>
            <c:manualLayout>
              <c:x val="-6.944444444444444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alpha val="78000"/>
            </a:schemeClr>
          </a:solidFill>
          <a:ln w="19050">
            <a:solidFill>
              <a:schemeClr val="lt1"/>
            </a:solidFill>
          </a:ln>
          <a:effectLst/>
        </c:spPr>
        <c:dLbl>
          <c:idx val="0"/>
          <c:layout>
            <c:manualLayout>
              <c:x val="7.777777777777777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alpha val="79000"/>
            </a:schemeClr>
          </a:solidFill>
          <a:ln w="19050">
            <a:solidFill>
              <a:schemeClr val="lt1"/>
            </a:solidFill>
          </a:ln>
          <a:effectLst/>
        </c:spPr>
        <c:dLbl>
          <c:idx val="0"/>
          <c:layout>
            <c:manualLayout>
              <c:x val="-6.9444444444444448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alpha val="79000"/>
            </a:schemeClr>
          </a:solidFill>
          <a:ln w="19050">
            <a:solidFill>
              <a:schemeClr val="lt1"/>
            </a:solidFill>
          </a:ln>
          <a:effectLst/>
        </c:spPr>
        <c:dLbl>
          <c:idx val="0"/>
          <c:layout>
            <c:manualLayout>
              <c:x val="-3.6111111111111163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alpha val="79000"/>
            </a:schemeClr>
          </a:solidFill>
          <a:ln w="19050">
            <a:solidFill>
              <a:schemeClr val="lt1"/>
            </a:solidFill>
          </a:ln>
          <a:effectLst/>
        </c:spPr>
        <c:dLbl>
          <c:idx val="0"/>
          <c:layout>
            <c:manualLayout>
              <c:x val="1.6666666666666666E-2"/>
              <c:y val="-9.7222222222222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alpha val="78000"/>
            </a:schemeClr>
          </a:solidFill>
          <a:ln w="19050">
            <a:solidFill>
              <a:schemeClr val="lt1"/>
            </a:solidFill>
          </a:ln>
          <a:effectLst/>
        </c:spPr>
        <c:dLbl>
          <c:idx val="0"/>
          <c:layout>
            <c:manualLayout>
              <c:x val="0.11359879111514762"/>
              <c:y val="-0.122563199336925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75000"/>
              <a:alpha val="79000"/>
            </a:schemeClr>
          </a:solidFill>
          <a:ln w="19050">
            <a:solidFill>
              <a:schemeClr val="lt1"/>
            </a:solidFill>
          </a:ln>
          <a:effectLst/>
        </c:spPr>
        <c:dLbl>
          <c:idx val="0"/>
          <c:layout>
            <c:manualLayout>
              <c:x val="-9.323164804696768E-2"/>
              <c:y val="-0.144980314960629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alpha val="79000"/>
            </a:schemeClr>
          </a:solidFill>
          <a:ln w="19050">
            <a:solidFill>
              <a:schemeClr val="lt1"/>
            </a:solidFill>
          </a:ln>
          <a:effectLst/>
        </c:spPr>
        <c:dLbl>
          <c:idx val="0"/>
          <c:layout>
            <c:manualLayout>
              <c:x val="-3.1633450656181769E-2"/>
              <c:y val="-0.122319726481558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75000"/>
              <a:alpha val="79000"/>
            </a:schemeClr>
          </a:solidFill>
          <a:ln w="19050">
            <a:solidFill>
              <a:schemeClr val="lt1"/>
            </a:solidFill>
          </a:ln>
          <a:effectLst/>
        </c:spPr>
        <c:dLbl>
          <c:idx val="0"/>
          <c:layout>
            <c:manualLayout>
              <c:x val="0.12412928947341514"/>
              <c:y val="-0.14985391628677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Pivots!$M$33</c:f>
              <c:strCache>
                <c:ptCount val="1"/>
                <c:pt idx="0">
                  <c:v>Total</c:v>
                </c:pt>
              </c:strCache>
            </c:strRef>
          </c:tx>
          <c:dPt>
            <c:idx val="0"/>
            <c:bubble3D val="0"/>
            <c:spPr>
              <a:solidFill>
                <a:schemeClr val="accent6">
                  <a:lumMod val="75000"/>
                  <a:alpha val="78000"/>
                </a:schemeClr>
              </a:solidFill>
              <a:ln w="19050">
                <a:solidFill>
                  <a:schemeClr val="lt1"/>
                </a:solidFill>
              </a:ln>
              <a:effectLst/>
            </c:spPr>
            <c:extLst>
              <c:ext xmlns:c16="http://schemas.microsoft.com/office/drawing/2014/chart" uri="{C3380CC4-5D6E-409C-BE32-E72D297353CC}">
                <c16:uniqueId val="{00000001-E8CD-4A15-B8CD-213F061D2D8D}"/>
              </c:ext>
            </c:extLst>
          </c:dPt>
          <c:dPt>
            <c:idx val="1"/>
            <c:bubble3D val="0"/>
            <c:spPr>
              <a:solidFill>
                <a:schemeClr val="accent3">
                  <a:lumMod val="75000"/>
                  <a:alpha val="79000"/>
                </a:schemeClr>
              </a:solidFill>
              <a:ln w="19050">
                <a:solidFill>
                  <a:schemeClr val="lt1"/>
                </a:solidFill>
              </a:ln>
              <a:effectLst/>
            </c:spPr>
            <c:extLst>
              <c:ext xmlns:c16="http://schemas.microsoft.com/office/drawing/2014/chart" uri="{C3380CC4-5D6E-409C-BE32-E72D297353CC}">
                <c16:uniqueId val="{00000003-E8CD-4A15-B8CD-213F061D2D8D}"/>
              </c:ext>
            </c:extLst>
          </c:dPt>
          <c:dPt>
            <c:idx val="2"/>
            <c:bubble3D val="0"/>
            <c:spPr>
              <a:solidFill>
                <a:schemeClr val="accent4">
                  <a:lumMod val="75000"/>
                  <a:alpha val="79000"/>
                </a:schemeClr>
              </a:solidFill>
              <a:ln w="19050">
                <a:solidFill>
                  <a:schemeClr val="lt1"/>
                </a:solidFill>
              </a:ln>
              <a:effectLst/>
            </c:spPr>
            <c:extLst>
              <c:ext xmlns:c16="http://schemas.microsoft.com/office/drawing/2014/chart" uri="{C3380CC4-5D6E-409C-BE32-E72D297353CC}">
                <c16:uniqueId val="{00000005-E8CD-4A15-B8CD-213F061D2D8D}"/>
              </c:ext>
            </c:extLst>
          </c:dPt>
          <c:dPt>
            <c:idx val="3"/>
            <c:bubble3D val="0"/>
            <c:spPr>
              <a:solidFill>
                <a:schemeClr val="accent5">
                  <a:lumMod val="75000"/>
                  <a:alpha val="79000"/>
                </a:schemeClr>
              </a:solidFill>
              <a:ln w="19050">
                <a:solidFill>
                  <a:schemeClr val="lt1"/>
                </a:solidFill>
              </a:ln>
              <a:effectLst/>
            </c:spPr>
            <c:extLst>
              <c:ext xmlns:c16="http://schemas.microsoft.com/office/drawing/2014/chart" uri="{C3380CC4-5D6E-409C-BE32-E72D297353CC}">
                <c16:uniqueId val="{00000007-E8CD-4A15-B8CD-213F061D2D8D}"/>
              </c:ext>
            </c:extLst>
          </c:dPt>
          <c:dLbls>
            <c:dLbl>
              <c:idx val="0"/>
              <c:layout>
                <c:manualLayout>
                  <c:x val="0.11359879111514762"/>
                  <c:y val="-0.122563199336925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8CD-4A15-B8CD-213F061D2D8D}"/>
                </c:ext>
              </c:extLst>
            </c:dLbl>
            <c:dLbl>
              <c:idx val="1"/>
              <c:layout>
                <c:manualLayout>
                  <c:x val="-9.323164804696768E-2"/>
                  <c:y val="-0.144980314960629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8CD-4A15-B8CD-213F061D2D8D}"/>
                </c:ext>
              </c:extLst>
            </c:dLbl>
            <c:dLbl>
              <c:idx val="2"/>
              <c:layout>
                <c:manualLayout>
                  <c:x val="-3.1633450656181769E-2"/>
                  <c:y val="-0.122319726481558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8CD-4A15-B8CD-213F061D2D8D}"/>
                </c:ext>
              </c:extLst>
            </c:dLbl>
            <c:dLbl>
              <c:idx val="3"/>
              <c:layout>
                <c:manualLayout>
                  <c:x val="0.12412928947341514"/>
                  <c:y val="-0.149853916286779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8CD-4A15-B8CD-213F061D2D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Pivots!$L$34:$L$38</c:f>
              <c:strCache>
                <c:ptCount val="4"/>
                <c:pt idx="0">
                  <c:v>Female</c:v>
                </c:pt>
                <c:pt idx="1">
                  <c:v>Male</c:v>
                </c:pt>
                <c:pt idx="2">
                  <c:v>Unknown</c:v>
                </c:pt>
                <c:pt idx="3">
                  <c:v>Other</c:v>
                </c:pt>
              </c:strCache>
            </c:strRef>
          </c:cat>
          <c:val>
            <c:numRef>
              <c:f>Pivots!$M$34:$M$38</c:f>
              <c:numCache>
                <c:formatCode>General</c:formatCode>
                <c:ptCount val="4"/>
                <c:pt idx="0">
                  <c:v>2240</c:v>
                </c:pt>
                <c:pt idx="1">
                  <c:v>1605</c:v>
                </c:pt>
                <c:pt idx="2">
                  <c:v>261</c:v>
                </c:pt>
                <c:pt idx="3">
                  <c:v>114</c:v>
                </c:pt>
              </c:numCache>
            </c:numRef>
          </c:val>
          <c:extLst>
            <c:ext xmlns:c16="http://schemas.microsoft.com/office/drawing/2014/chart" uri="{C3380CC4-5D6E-409C-BE32-E72D297353CC}">
              <c16:uniqueId val="{00000008-E8CD-4A15-B8CD-213F061D2D8D}"/>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[ecommerce-blank.xlsx]Pivots!PivotTable9</c:name>
    <c:fmtId val="32"/>
  </c:pivotSource>
  <c:chart>
    <c:title>
      <c:tx>
        <c:rich>
          <a:bodyPr rot="0" spcFirstLastPara="1" vertOverflow="ellipsis" vert="horz" wrap="square" anchor="ctr" anchorCtr="1"/>
          <a:lstStyle/>
          <a:p>
            <a:pPr algn="l">
              <a:defRPr sz="1100" b="1" i="0" u="sng" strike="noStrike" kern="1200" spc="0" baseline="0">
                <a:solidFill>
                  <a:schemeClr val="tx1">
                    <a:lumMod val="65000"/>
                    <a:lumOff val="35000"/>
                  </a:schemeClr>
                </a:solidFill>
                <a:latin typeface="+mn-lt"/>
                <a:ea typeface="+mn-ea"/>
                <a:cs typeface="+mn-cs"/>
              </a:defRPr>
            </a:pPr>
            <a:r>
              <a:rPr lang="en-US" sz="1100" b="1" u="sng"/>
              <a:t>Days to deliver</a:t>
            </a:r>
          </a:p>
        </c:rich>
      </c:tx>
      <c:layout>
        <c:manualLayout>
          <c:xMode val="edge"/>
          <c:yMode val="edge"/>
          <c:x val="8.2173447069116334E-2"/>
          <c:y val="2.7777777777777776E-2"/>
        </c:manualLayout>
      </c:layout>
      <c:overlay val="0"/>
      <c:spPr>
        <a:noFill/>
        <a:ln>
          <a:noFill/>
        </a:ln>
        <a:effectLst/>
      </c:spPr>
      <c:txPr>
        <a:bodyPr rot="0" spcFirstLastPara="1" vertOverflow="ellipsis" vert="horz" wrap="square" anchor="ctr" anchorCtr="1"/>
        <a:lstStyle/>
        <a:p>
          <a:pPr algn="l">
            <a:defRPr sz="11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alpha val="7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alpha val="7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alpha val="7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Pivots!$B$67</c:f>
              <c:strCache>
                <c:ptCount val="1"/>
                <c:pt idx="0">
                  <c:v>Total</c:v>
                </c:pt>
              </c:strCache>
            </c:strRef>
          </c:tx>
          <c:spPr>
            <a:solidFill>
              <a:schemeClr val="accent6">
                <a:lumMod val="75000"/>
                <a:alpha val="79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Pivots!$A$68:$A$83</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Pivots!$B$68:$B$83</c:f>
              <c:numCache>
                <c:formatCode>General</c:formatCode>
                <c:ptCount val="15"/>
                <c:pt idx="0">
                  <c:v>55</c:v>
                </c:pt>
                <c:pt idx="1">
                  <c:v>323</c:v>
                </c:pt>
                <c:pt idx="2">
                  <c:v>179</c:v>
                </c:pt>
                <c:pt idx="3">
                  <c:v>123</c:v>
                </c:pt>
                <c:pt idx="4">
                  <c:v>71</c:v>
                </c:pt>
                <c:pt idx="5">
                  <c:v>44</c:v>
                </c:pt>
                <c:pt idx="6">
                  <c:v>19</c:v>
                </c:pt>
                <c:pt idx="7">
                  <c:v>14</c:v>
                </c:pt>
                <c:pt idx="8">
                  <c:v>13</c:v>
                </c:pt>
                <c:pt idx="9">
                  <c:v>3</c:v>
                </c:pt>
                <c:pt idx="10">
                  <c:v>5</c:v>
                </c:pt>
                <c:pt idx="11">
                  <c:v>6</c:v>
                </c:pt>
                <c:pt idx="12">
                  <c:v>3</c:v>
                </c:pt>
                <c:pt idx="13">
                  <c:v>3</c:v>
                </c:pt>
                <c:pt idx="14">
                  <c:v>7</c:v>
                </c:pt>
              </c:numCache>
            </c:numRef>
          </c:val>
          <c:extLst>
            <c:ext xmlns:c16="http://schemas.microsoft.com/office/drawing/2014/chart" uri="{C3380CC4-5D6E-409C-BE32-E72D297353CC}">
              <c16:uniqueId val="{00000000-35F8-4A55-A117-FB5330F0971C}"/>
            </c:ext>
          </c:extLst>
        </c:ser>
        <c:dLbls>
          <c:showLegendKey val="0"/>
          <c:showVal val="0"/>
          <c:showCatName val="0"/>
          <c:showSerName val="0"/>
          <c:showPercent val="0"/>
          <c:showBubbleSize val="0"/>
        </c:dLbls>
        <c:gapWidth val="31"/>
        <c:overlap val="-27"/>
        <c:axId val="1659351360"/>
        <c:axId val="1659359040"/>
      </c:barChart>
      <c:catAx>
        <c:axId val="165935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359040"/>
        <c:crosses val="autoZero"/>
        <c:auto val="1"/>
        <c:lblAlgn val="ctr"/>
        <c:lblOffset val="100"/>
        <c:noMultiLvlLbl val="0"/>
      </c:catAx>
      <c:valAx>
        <c:axId val="1659359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35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[ecommerce-blank.xlsx]Pivots!PivotTable8</c:name>
    <c:fmtId val="40"/>
  </c:pivotSource>
  <c:chart>
    <c:title>
      <c:tx>
        <c:rich>
          <a:bodyPr rot="0" spcFirstLastPara="1" vertOverflow="ellipsis" vert="horz" wrap="square" anchor="ctr" anchorCtr="1"/>
          <a:lstStyle/>
          <a:p>
            <a:pPr>
              <a:defRPr sz="1100" b="1" i="0" u="sng" strike="noStrike" kern="1200" spc="0" baseline="0">
                <a:solidFill>
                  <a:schemeClr val="tx1">
                    <a:lumMod val="65000"/>
                    <a:lumOff val="35000"/>
                  </a:schemeClr>
                </a:solidFill>
                <a:latin typeface="+mn-lt"/>
                <a:ea typeface="+mn-ea"/>
                <a:cs typeface="+mn-cs"/>
              </a:defRPr>
            </a:pPr>
            <a:r>
              <a:rPr lang="en-IN" sz="1100" b="1" u="sng"/>
              <a:t>Customer</a:t>
            </a:r>
            <a:r>
              <a:rPr lang="en-IN" sz="1100" b="1" u="sng" baseline="0"/>
              <a:t> satisfaction</a:t>
            </a:r>
            <a:endParaRPr lang="en-IN" sz="1100" b="1" u="sng"/>
          </a:p>
        </c:rich>
      </c:tx>
      <c:layout>
        <c:manualLayout>
          <c:xMode val="edge"/>
          <c:yMode val="edge"/>
          <c:x val="7.0201224846894103E-2"/>
          <c:y val="2.3148148148148147E-2"/>
        </c:manualLayout>
      </c:layout>
      <c:overlay val="0"/>
      <c:spPr>
        <a:noFill/>
        <a:ln>
          <a:noFill/>
        </a:ln>
        <a:effectLst/>
      </c:spPr>
      <c:txPr>
        <a:bodyPr rot="0" spcFirstLastPara="1" vertOverflow="ellipsis" vert="horz" wrap="square" anchor="ctr" anchorCtr="1"/>
        <a:lstStyle/>
        <a:p>
          <a:pPr>
            <a:defRPr sz="1100" b="1" i="0" u="sng"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Pivots!$B$139:$B$140</c:f>
              <c:strCache>
                <c:ptCount val="1"/>
                <c:pt idx="0">
                  <c:v>1</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Pivots!$A$141:$A$144</c:f>
              <c:strCache>
                <c:ptCount val="3"/>
                <c:pt idx="0">
                  <c:v>Jan</c:v>
                </c:pt>
                <c:pt idx="1">
                  <c:v>Feb</c:v>
                </c:pt>
                <c:pt idx="2">
                  <c:v>Mar</c:v>
                </c:pt>
              </c:strCache>
            </c:strRef>
          </c:cat>
          <c:val>
            <c:numRef>
              <c:f>Pivots!$B$141:$B$144</c:f>
              <c:numCache>
                <c:formatCode>General</c:formatCode>
                <c:ptCount val="3"/>
                <c:pt idx="0">
                  <c:v>2</c:v>
                </c:pt>
                <c:pt idx="1">
                  <c:v>5</c:v>
                </c:pt>
                <c:pt idx="2">
                  <c:v>2</c:v>
                </c:pt>
              </c:numCache>
            </c:numRef>
          </c:val>
          <c:extLst>
            <c:ext xmlns:c16="http://schemas.microsoft.com/office/drawing/2014/chart" uri="{C3380CC4-5D6E-409C-BE32-E72D297353CC}">
              <c16:uniqueId val="{00000000-FD22-4A7F-B0CE-051541744AA1}"/>
            </c:ext>
          </c:extLst>
        </c:ser>
        <c:ser>
          <c:idx val="1"/>
          <c:order val="1"/>
          <c:tx>
            <c:strRef>
              <c:f>Pivots!$C$139:$C$140</c:f>
              <c:strCache>
                <c:ptCount val="1"/>
                <c:pt idx="0">
                  <c:v>2</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Pivots!$A$141:$A$144</c:f>
              <c:strCache>
                <c:ptCount val="3"/>
                <c:pt idx="0">
                  <c:v>Jan</c:v>
                </c:pt>
                <c:pt idx="1">
                  <c:v>Feb</c:v>
                </c:pt>
                <c:pt idx="2">
                  <c:v>Mar</c:v>
                </c:pt>
              </c:strCache>
            </c:strRef>
          </c:cat>
          <c:val>
            <c:numRef>
              <c:f>Pivots!$C$141:$C$144</c:f>
              <c:numCache>
                <c:formatCode>General</c:formatCode>
                <c:ptCount val="3"/>
                <c:pt idx="0">
                  <c:v>11</c:v>
                </c:pt>
                <c:pt idx="1">
                  <c:v>11</c:v>
                </c:pt>
                <c:pt idx="2">
                  <c:v>10</c:v>
                </c:pt>
              </c:numCache>
            </c:numRef>
          </c:val>
          <c:extLst>
            <c:ext xmlns:c16="http://schemas.microsoft.com/office/drawing/2014/chart" uri="{C3380CC4-5D6E-409C-BE32-E72D297353CC}">
              <c16:uniqueId val="{00000001-FD22-4A7F-B0CE-051541744AA1}"/>
            </c:ext>
          </c:extLst>
        </c:ser>
        <c:ser>
          <c:idx val="2"/>
          <c:order val="2"/>
          <c:tx>
            <c:strRef>
              <c:f>Pivots!$D$139:$D$140</c:f>
              <c:strCache>
                <c:ptCount val="1"/>
                <c:pt idx="0">
                  <c:v>3</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Pivots!$A$141:$A$144</c:f>
              <c:strCache>
                <c:ptCount val="3"/>
                <c:pt idx="0">
                  <c:v>Jan</c:v>
                </c:pt>
                <c:pt idx="1">
                  <c:v>Feb</c:v>
                </c:pt>
                <c:pt idx="2">
                  <c:v>Mar</c:v>
                </c:pt>
              </c:strCache>
            </c:strRef>
          </c:cat>
          <c:val>
            <c:numRef>
              <c:f>Pivots!$D$141:$D$144</c:f>
              <c:numCache>
                <c:formatCode>General</c:formatCode>
                <c:ptCount val="3"/>
                <c:pt idx="0">
                  <c:v>39</c:v>
                </c:pt>
                <c:pt idx="1">
                  <c:v>70</c:v>
                </c:pt>
                <c:pt idx="2">
                  <c:v>64</c:v>
                </c:pt>
              </c:numCache>
            </c:numRef>
          </c:val>
          <c:extLst>
            <c:ext xmlns:c16="http://schemas.microsoft.com/office/drawing/2014/chart" uri="{C3380CC4-5D6E-409C-BE32-E72D297353CC}">
              <c16:uniqueId val="{00000002-FD22-4A7F-B0CE-051541744AA1}"/>
            </c:ext>
          </c:extLst>
        </c:ser>
        <c:ser>
          <c:idx val="3"/>
          <c:order val="3"/>
          <c:tx>
            <c:strRef>
              <c:f>Pivots!$E$139:$E$140</c:f>
              <c:strCache>
                <c:ptCount val="1"/>
                <c:pt idx="0">
                  <c:v>4</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Pivots!$A$141:$A$144</c:f>
              <c:strCache>
                <c:ptCount val="3"/>
                <c:pt idx="0">
                  <c:v>Jan</c:v>
                </c:pt>
                <c:pt idx="1">
                  <c:v>Feb</c:v>
                </c:pt>
                <c:pt idx="2">
                  <c:v>Mar</c:v>
                </c:pt>
              </c:strCache>
            </c:strRef>
          </c:cat>
          <c:val>
            <c:numRef>
              <c:f>Pivots!$E$141:$E$144</c:f>
              <c:numCache>
                <c:formatCode>General</c:formatCode>
                <c:ptCount val="3"/>
                <c:pt idx="0">
                  <c:v>113</c:v>
                </c:pt>
                <c:pt idx="1">
                  <c:v>150</c:v>
                </c:pt>
                <c:pt idx="2">
                  <c:v>130</c:v>
                </c:pt>
              </c:numCache>
            </c:numRef>
          </c:val>
          <c:extLst>
            <c:ext xmlns:c16="http://schemas.microsoft.com/office/drawing/2014/chart" uri="{C3380CC4-5D6E-409C-BE32-E72D297353CC}">
              <c16:uniqueId val="{00000003-FD22-4A7F-B0CE-051541744AA1}"/>
            </c:ext>
          </c:extLst>
        </c:ser>
        <c:ser>
          <c:idx val="4"/>
          <c:order val="4"/>
          <c:tx>
            <c:strRef>
              <c:f>Pivots!$F$139:$F$140</c:f>
              <c:strCache>
                <c:ptCount val="1"/>
                <c:pt idx="0">
                  <c:v>5</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Pivots!$A$141:$A$144</c:f>
              <c:strCache>
                <c:ptCount val="3"/>
                <c:pt idx="0">
                  <c:v>Jan</c:v>
                </c:pt>
                <c:pt idx="1">
                  <c:v>Feb</c:v>
                </c:pt>
                <c:pt idx="2">
                  <c:v>Mar</c:v>
                </c:pt>
              </c:strCache>
            </c:strRef>
          </c:cat>
          <c:val>
            <c:numRef>
              <c:f>Pivots!$F$141:$F$144</c:f>
              <c:numCache>
                <c:formatCode>General</c:formatCode>
                <c:ptCount val="3"/>
                <c:pt idx="0">
                  <c:v>92</c:v>
                </c:pt>
                <c:pt idx="1">
                  <c:v>84</c:v>
                </c:pt>
                <c:pt idx="2">
                  <c:v>85</c:v>
                </c:pt>
              </c:numCache>
            </c:numRef>
          </c:val>
          <c:extLst>
            <c:ext xmlns:c16="http://schemas.microsoft.com/office/drawing/2014/chart" uri="{C3380CC4-5D6E-409C-BE32-E72D297353CC}">
              <c16:uniqueId val="{00000004-FD22-4A7F-B0CE-051541744AA1}"/>
            </c:ext>
          </c:extLst>
        </c:ser>
        <c:dLbls>
          <c:showLegendKey val="0"/>
          <c:showVal val="0"/>
          <c:showCatName val="0"/>
          <c:showSerName val="0"/>
          <c:showPercent val="0"/>
          <c:showBubbleSize val="0"/>
        </c:dLbls>
        <c:gapWidth val="219"/>
        <c:overlap val="-27"/>
        <c:axId val="1921651280"/>
        <c:axId val="1832768944"/>
      </c:barChart>
      <c:catAx>
        <c:axId val="192165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768944"/>
        <c:crosses val="autoZero"/>
        <c:auto val="1"/>
        <c:lblAlgn val="ctr"/>
        <c:lblOffset val="100"/>
        <c:noMultiLvlLbl val="0"/>
      </c:catAx>
      <c:valAx>
        <c:axId val="1832768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651280"/>
        <c:crosses val="autoZero"/>
        <c:crossBetween val="between"/>
      </c:valAx>
      <c:spPr>
        <a:solidFill>
          <a:schemeClr val="bg1">
            <a:lumMod val="95000"/>
          </a:schemeClr>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sz="1100" b="1" u="sng"/>
          </a:pPr>
          <a:r>
            <a:rPr lang="en-US" sz="1100" b="1" i="0" u="sng" strike="noStrike" baseline="0">
              <a:solidFill>
                <a:sysClr val="windowText" lastClr="000000">
                  <a:lumMod val="65000"/>
                  <a:lumOff val="35000"/>
                </a:sysClr>
              </a:solidFill>
              <a:latin typeface="Aptos Narrow" panose="02110004020202020204"/>
            </a:rPr>
            <a:t>Where do our customer live?</a:t>
          </a:r>
        </a:p>
      </cx:txPr>
    </cx:title>
    <cx:plotArea>
      <cx:plotAreaRegion>
        <cx:plotSurface>
          <cx:spPr>
            <a:solidFill>
              <a:schemeClr val="bg1">
                <a:lumMod val="95000"/>
              </a:schemeClr>
            </a:solidFill>
          </cx:spPr>
        </cx:plotSurface>
        <cx:series layoutId="regionMap" uniqueId="{00000000-C680-442B-8AB1-80FAFD57A971}">
          <cx:tx>
            <cx:txData>
              <cx:f>_xlchart.v5.2</cx:f>
              <cx:v>Quantity</cx:v>
            </cx:txData>
          </cx:tx>
          <cx:spPr>
            <a:ln>
              <a:solidFill>
                <a:schemeClr val="tx1"/>
              </a:solidFill>
            </a:ln>
          </cx:spPr>
          <cx:dataId val="0"/>
          <cx:layoutPr>
            <cx:geography cultureLanguage="en-US" cultureRegion="IN" attribution="Powered by Bing">
              <cx:geoCache provider="{E9337A44-BEBE-4D9F-B70C-5C5E7DAFC167}">
                <cx:binary>3H1pc9u4svZfSeXzSw8WgiBPnTlVh6Q271viOF9Yiq2Q4AIuANdff1u2Z8ai5Ix8a1xvXTmzVCw1
2MQDoBtPNxr/fuj+9ZCultWnLkul+tdD9/vnSOviX7/9ph6iVbZUR5l4qHKV/9RHD3n2W/7zp3hY
/fZYLVshw98IwuZvD9Gy0qvu83/+Da2Fq/w0f1hqkcurelX11ytVp1r94rOdH31aPmZC+kLpSjxo
/Ptnb5mKn3klxfLz5mfk98/+Kv10noMOn7y8lrr//GkltdD9bV+sfv+80RL5/Om38QO3lPuUgv66
fgRhEx9xZnJOsO08/fDPn9Jchi8fG5iYRwSZlFsEmn5+7PkyA8l3KfWk0vLxsVopBa/39P9dTWy8
C3TKf/fpjId1p6yRCAGU3z9/kUKvHj/d6KVeqc+fhMqfeq3qvXz9xl9unrrot00s//Pv0S+g00a/
eQX3uIf/7qNNRP8G7Zul1MtP7rL6sayW/zzi1DwyCbIt7uBnxJ0R4tg5shybmphaz1/YxP3d6u3G
fncze+C/W/DAxsB/U5hjjx+BPj+ykWkT26JvzHdyRDgxYb5vwv4OjXYDPm5gD6jHIgcHciHkB6zp
1IYJTJmFmfmMsb09wzn8MMbNMcj7avQWxhvye0G8IXFgCN/naf4BKzjgy7npmIiNgCVgzbnJMbbw
JrD7KrIb1g3pPUDd+P6BQXpbCfAv+n8eVRMdcUo44+zF7G55YuRoDTmY5RG471BpN77jBvaAeCxy
YCifLpOPWJidI3ClMUcORU8/YGM3nW2AGDNs2dzanL/76rMb3w3pPcDd+P6BIfvfbPmYV//89AWj
S8FrQsQGm7oJKkxsTghg7jyBPpq9+yu0G9yR/B7wjiQODOCbaKlg/+T94ztldAT+kkVtyt+cvNTG
yLbJaPLur9FuhEfyeyA8kjgwhN1afwQVQp0jhgkFE/uG2wzeFWOmhTEZTeG9FdqN76b4HvBuChwY
ureraJl9zPzF3LIQI2/wHgR2vsB6AMBk1zq9v167UR7J7wHzSOLAcH7mcbz0Y0gufkTBHIPNfaE1
x1tgmMu2bWOTmbCHek1rvlOt3VjvamQPwHeJHRjqp7n69F8ZrtKV+udNNFCbML0JtU32BvFhHxFz
PTDAB1//jNbxdyq3G/tdjeyB/S6xA8Pey9NafcDKDoabIIfAvpg9oYp2bKsQsoHOHk/2/TXajfVI
fg+YRxKHhvAyXTaravkRc9s+wo5FMOFvud/oyLLXw8Acud8QWdtfqTdw3mpiH6i3hA4MbTBXn05r
oT5d/BCq+Aiikx0R2E1hx7SfJzas1+OtNXh0CDxyCGKNrPh7VduN/FvvuAf+b4ke2Cg4W1aiyD9k
XedHpm0CJWo/O+Rrc70BP0QqHcvkNgFG7elncxC8R7Pd6G+1sAfsWzIHhve8zn7k6aP+5923NQNu
W9g01wTKBtCQhAAhDXDmyYs7vwn0e1TaDfRWC3sAvSVzYEB7OWRVrN21D6HTgC9F65wTSvluXx22
45iaNuMY9m6v1/b36rUb8Z2t7IH6TrkDQ35tuXyxCj/CpJMjjiHG5ZDxjhxzmONAoNr0ZfO2ifq7
dNoN+XYTe+C9LXRgYE/ST35eQVDkn1/QYY5z4liMvOSaOONUIwIrvuNgmOXgxcHPaD/+LtV2Y77d
xB6Ybwv9H8D81ypuvPU6Ae2/f0yvHUmE78whpPyIAC9uQULZbjd9nVGGOeHYfKFe/3j2cybh69TH
54V+l0678X0tu/GOz6/46075P5caOIX8SfkRE9WC3ANsMYbf4MYBQW4z+INHdOn+Gu3GbyS/A8KN
X0Ey7EjiwBAGc7MOXlb18AHLsXXkcAhwIPySYTI2weByQfwa9trOiEJ5n1a7kd7Rxga0u7N9d0gd
GOLXAhgzJR4/It+EHjk2YpQ+W9cn+7qxrwKfiwKfRjAf8SfvUmo33ttN7AH3ttCBoT1LV1J+wNSG
2DWB3DBne+sM2yjHxpyyUULv3prshndTfA9oNwUODFZYpj4d58uyFh8BLj9yYMtkEsjbf/qhY3oE
HxGHmJC28BwAGbnR71RuN967GtkD9V1iB4b92fIRQh4fMKfBXFsE5i1/CWuN6U/YPSELKBLwqjcd
6v012o31SH4PmEcSB4bwIitWlVimH4Ax0CFAhTDICt09tTE7YuCXM0hdefrCaGq/R7PdWG+1sAfa
WzIHhvfNOsHsI3JEHaA0CYEg5ss2a8sBx0cWYcCAbznge2u0G+XRG+2B8Uji0BAWKhF9Xv/zM3p9
oJJiCFn9ccBqi/MiRxYczmGwdG+u2jfv0OkNlMct7IPzWObAkF7I/mMIExsRcLnhGM4focfNndU6
XcGxLEgy20R5X312I7whvQe6G98/MGRPl0qtPsDdhjCkCUfnbOfF20Zb7jZkmsDHJpyh3cR2f412
ozuS3wPfkcSBIXyyqj4AX8qA9HhK836hRcZ+NZCd69AkmOoRvvvqsxvdDek9sN34/oEh+xV4/vpD
Nk1QrsCGXD/0VlgZwIWjOBhZaLQwv0Ol3fiOG9gD4rHIgaF8AiU0PiIV0DqCqQmH1P9I8x27WOt4
E3wGbvZ4Au+r0G6EN99nD3w3BQ4M3Zs8XX5IMAqStGEPZHP+ckpyvD6vwxSmYzM0zvTcX6Pd+I7k
9wB4JHFgCK9T2T7CAAOfyU1gNNFLXsDWNpgcMYrXJUpGa/TeCu3Gd1N8D3g3BQ4M3fNVs/yQEiNg
YS3CwQa/8JZb/jMG/wpy8bdYjv012o3vSH4PgEcSB4bwZbp8+BAeyz6yHagfBJug3awlnK6CnTF4
WeTP3fHrDL799dqN80h+D5xHEgeG80W1hCNV/zyXRSmw04Cybb1xIhbixzaDc+3WOHNrf412IzyS
3wPhkcSBIXyZ1lCr7gMQhgx6anHI0HthpLeKjiAoOmI7DOoJbXId+2u0G+GR/B4IjyQODOGb5UMF
Nb+k/gi20obSBVASCo7RPK/HWyjjIygnBH+AFln/jKJM79NtN9472tgD8x1SB4b7bQ0noD9i7YZN
MkXro+xvJ2USZ30Gmo3iEPtrtBvpkfweKI8kDgzhdQqEu4KiUR8xsy0wwLBbhjSBPz2tjTgEeGIm
IghO1Wyn9L1Dq91I73izPdDeIXWQiFdyWT2KD2FI4DgUcJxwVOKFIRnvsMAvI1ArDHz0TaP93PXv
UexXwG+1szf4W5IHOACm4JQ/CPWQ/wHBjqR2SMl7V7VeyLTnkJ7LYdl+Y7qTdXFXCD/THcj/qdE+
fuTbwG83syfu24KHBrtYVR8S1IDsTgtROP347J7tikjCh1DUF0jRXf7b3nq9gfqm/D5wb0ocGs5g
0c+guvRHGPSnM88cKte8GPQtVx2qFBEoXOOYW076O5R6A+et99oH6i2hQ0M7l/lHFKSC03EmdSwH
DkY9TdrtWf10VtIyIcPzDxvyfGDqZm+N3sB5U34fkDclDg1hvZRCpcv6IxgWDrFIBOn31ls1P4Er
ReuqRHwU7IAC9u/Q6g2kt9vYB+1tqQND/LaGWkTZhxTfhuCWDc435HA+z+qt6CU6AkuOsU229t37
67Qb7a232gPrLZkDQ/q+/rHcx999pyMOmbyQJAYHbt6qRgS1IqGKrw0FQzfX7n312Y3whvQe6G58
//8Hsm/fofHnrST+Ui8nT/eZvLpG49efPnUO3MQyEn0pE7F7o/UcgFo8/v4ZUu0pg+zNV5uvdUMb
RSbOoPjFqlr1f4C3KbeCErO/f4bLUdARwdTh6zg2gspTYKfb1ctHGILc61qxlgW5vtSBZUDCFS7R
758pnOuAUlZQgJ/CvSqghcrrp98z2NxBXA05JicWg0TwP2+cuczTPszln53y8vdPss4ucyG1+v0z
X9N4xfP31soyBJz9+gqPNUsARz6h6B18/rC8XqfAQB/8v6xIzbyHKPt5RodmWqDA9HPE77kdTnJe
3xFtfUmGq6BvZqTEE1LaV7UOvwTpkHg9JNB5hZn4pezPrNM4NB5om3zJjID6mFbxrK/kD0tr7fZt
uCiyeI5C2XpFnU8ZrgIvamLLg33qd0M2xQ+spXBpkLaT2BTBdIjieSsqax6E1bFsI+HGNLrLWH4q
e+d+MLSbFnbltaJc9nFy5UR0WVn4W9f0xLN0d6abOPf6KMn9ooxP6roPXZblzV2P7O9CF+JEFjiY
4JZZPiriL0mdfkc9HxZmFi4CZeRTyx7mQ0m+Nyo7d2Tl9Ra/capZMqBJ6eSVy+L2Sx2Je1sY8xbl
d6oywmNOCt9RppfJ5hzHaApInHe9ODfrwSv7KnEDET3mhb4ItSzd0mrPHdFSNxdkYebTuNRu1Oce
ITdheVbxaaGT+5JEpQsqzpQaLFfjxk/NVLmaVZGXxMT+EpiBmzOl5o3lSC9o6SwOjFMry9t5rnnj
BaKetHl8XSjr1EL5MDWtyPCaNJ2XUMGnMqLW10QVblShWWUNkcea+rK3nTmKkeWioJGzSNKVFsI8
TiU8L009xcLBdXj1Aw298BWyTiN78HMVLzsrcFy75qetFhdp4ZxnhelbMTPdvI9P2zAaXJP7nA2Z
q83O8lPEGldGfemGQ955VttgN03M0k25Up4QOvMEL2CwCYe5OhsuHc2XrDAWoSH0tFbEC5DRu4T0
Vy23lMex8KySPvQkLj2zjK8lzmI/AuSMgn5heeuWWVpNEKzKp6WBF6mdnxVx973Juq+RUj+K0m59
3PaBP1hW7uZxHXt9hTM/ifWi6XXuN2VyV4uqcAebO56IsqtAmdRLmm6eYZ1Pq5BKd+it1k3yBSUi
9mJu/wQ8TvKiuDCraJpYaMZwirwsytyisYnbp/QmHuT3FIsTjduzfCCNO2h5HCh9irJ8QbJ6cFNU
LOzG/hGrcOFE4cwySepatrptlbgpauOLyK0FkvlxXZmr3LIWCQovDCS/S5V+sZISOnVoT01andA6
P6ubRLtF0l2lWTPrAnFq1pYvh3ZeOPkCV+aU9ea8DKPj0ESFW/X0pEjbk1ahSxSZ6bQeKj8I9beW
R42rzGEqKn1R1Gnm9gM/rhxyzURxkohmbiZ9DW+Y1Yu4IRcmqs7Cgl/IonlQoueuHZIblau7UJYn
QRef1ZHpR2F/LVGK3AQmfZJGU6sVd2HCZyzM55kl7EXP5Mxq2ghGhz6j0hGezemVGYcL0yJXmdEE
bohKL6qrReOgb6hrU89Gaeo7pL5uI3ZaV03oDpxHrhyyb7Wmc143XtFrn3SD4dW2PKOp9X2wnVlr
tBPttNNUNPeyqueKoZ+DCmtXCDIZVPBNANlGXD4YMrsmcC+El9ptSqZ2zmDt6yg9NsxsmFRWeuKE
9anpJItO19o1sHMSRdGF2aQnQdi3bpyHZ21gZhPhyB+N0LZrVOm5gZxZmTvnlUxiz267aVYiPBEM
fxW4Pu2weUcT4xwH8c2whpDa7EeBO5iN4YSS9gSHxl2HmguK8TlKOj+yeD6p+nZJDGvwRBEKmCeF
X2rAosJsKutQzEo7+15QetY7mXa1qOZJHs8SWbS+svBXOIZ2XKrGjaLYZ8q4aoSFPWLe8rCeCDH8
iFN+MzAdnkpWFgsUBtdFJs8MiQI3KNOJObDvuLBmnASuSVs2j7VlTtqqI/OkM2Euh6uk17HLZY5O
et6fYqgbMsW4YFMk6IyXrHJhUBQe6ezKtUI0V1n9TbXippTDaV+Ht0Gl5tIYQrdr7a+yFTN459uw
T+90GTWLzrxMksSPUeOR2OphWelmzMwvWh3eCjQo37aauZEOMz3Yi0pZV0OK51XoQNfgC6OspBs1
/VVTk5skze0JwrL07apN3Aa3VwW1zlQK9n6SKoOkk7otxVeWCQ2Lv8VPiAyEm9lpM41Ky83KgbvC
bmB2Dqel4L1rVfBKfV/Mq66f8VA6l3bGbDfTjZwMhihd0pTCDZumcxuowdaE0J2WjKdgYZgbQTjA
L0jqdUbosVzPg8gQfpdqMDGN0xzHaZe5pdH/lJVaMJjFbtLLxKNxhV1LdPaEpeldk4fER71V+Tyy
5RRHihtuFluZV2XhaYt1cSFLrL/FmOvIZUNlTGu7ZVeqlcNxag8FddvUtIXbZCaeFO2Q+gM2Tlta
HTeFuCR2MjW7eMLJ8DUrg+uwrE7qkoQup9IjqV1PJC6/BS2LPR62kwor5TZJN6vNIJlQrX80ce3h
xL43A3rWtD0YGeFndTPVAXMFVbcFQr1v82gJK+tXRKt50EYXiHWrIKYn2QDd5ERiAgMp95RBvxUD
O+EiOwtESj2LZ36cJlOjyI6bGkx01de2b1XBRYyYnyb5tYYjYy7PhkURWqesE3NcDW6YFIvMaV2W
o8QXPAk9K6ZXTpvd6A4MRt73fiblrUxb6WVGcoJEu0DIOAP6zgNXaEa6cqEDZ2Yk0SLk5UlY6DvL
pCepxMcVBUtL7WliFw9BPEziJLzqAvAUelZMhiCaQNkIj5V6lUXOqSGlp2DQdV19UjvpA9ANoasc
uciRuK5IPLGI8Bwz7l2aWfOoQzcqMUpXS8Pw+g67PQ8nQ9VOgyb0nSBGbu2oqY7xPKvJt8Y2vTTG
3ZQZuUe50YNrUbpCpiWs7sm3lNZeiFnothWZOEnduXWYLowi/uo4wYzawyVqSOQmGt/2LZ7SuLjL
sYV8mhHhGo14DKq88bq4rSc6ouctQ+dBSL93SFsTERcTM+Cz2BELRyBnGobBSZMMq6Jn57rA8MZt
qk8tAoMlzFvmtTZvwZcq8CToLfsix/mxNOtJntqWH2l0lZrGaaq7wTNCOlXKqNyARditFMrmUW/d
szbubxxYafwk7U67zq59o83vOjZcFYZ1T0gcTAtRfkMNuC/IqqeJalJPKnhrO8BzZ730lHboNrkT
zcMqjT1WJGdFkE2T0BguDFKdFDgsfWKpzi+r7GeDOwUuYil9E/7WJ72Pm/ImFF0xS4ds0XISu72u
T4dqbbWZ+a3DMNFiZId+1TmpW/bmOU7EedImnhmb0YJHgzotgspyRUfvSJiGx20VXDkqvUeiMOfr
6W7RJnIdCdY8qRp6b0f6RhbmFW47cepQ6du4WIQFuiUheDQ5Q65o61mIch9lyWkZolnNzcoNWfaz
tvMU1nIyCal9m+j8WOj4JGks8DPbbqKI/tbj8trpSunKgp/HODzPeDxNudmfyC7+WqbOvdnRazgE
nZ8wGstJHVr5lGjzfsichaOw4cVIyJlsoGGjxNMcC+0X0mzmcZoSV8kCrGNoZojedDgmsI2oKsOc
2GlvkthLqGVMCBbBEHuvdnw7tlCwFXu1gbLXOW8WnMDnGGw8ZEmh0QaKCIQ6QqS4iIvClfJMDZ3r
mDe/fgiE4Xc8ZB2fxxSSsPh6F/dql5YEXUUNpcQF6heGPENG5BrmrW5vf/0Y2IluP4bDqYj19RYc
IkWbjwkgTQR2AQgcd/Kzzb8Y9Pjd7cOBDEj4NBFsNtm4r5TTW3luZemFbGGgze1g+f72oRYs9BB0
FIQ30ab+IZfBQFmZXdiw72CXzDn9dfvAtf6yf0ZYm1aCIwOW0gszmxmZl+BpxX1TuN0qjf13Pwpq
WlpwC6MJFBFbH/V+jXhqh2hohzy5QPG8rjyN3CJzQ9MDM2wU7q+ftVb7Lw7gaQhvwLIe4q9GF8Ii
a7iVphcF9RwFHp0HUwvW1L6Z/vpBO/pv40Gjl5I8dvLafn4QFb6M3C6agh1Zm+Lib8bajnkJaakY
AqJgHeE8PYS6X78UZZLkYHjlhaLTAGp/dxMWPPz6dXZMl9ePGA+3QTHwlRiSF9JexsG9afwvhjNk
1ppwfBhOKbEn7uYVLnGZMm0aRF7EsAJS7qb9/2LxsoGfsiiwP1Aaf3177+tOkoYE/97C+cXAly0/
r2XhIv03a9cu0GEQw0WSJmVQhQQ4rtfPcKKskL09ZBcVOH69Z5cuZldN5eaFP9C/Gck7nmUjeA04
02VzDPzT5rOiwAaSLWbyIlrvqSci96J+wks3Bx/r+gn8Fyry8jWX9pAXfSXC6OUC5z//+p/bPIN/
nq4A/uuX6/uf//rbbJWvw3Fq/KX1c/781l/XCK8pxj/vFB4Rl8+XSL/Bav7yw7cpz9fMJYNg8qsJ
sMV2vq6i+BdP+iz1B9eJIelofbPGGgQGpQChwT+5TrhSeH3YAwJdNhCO68j0C9dpwlEtAAwK869L
P8Il0wDrH3QngUM+0CAktNjAk8J52/fQnXg91v5a6dZsJ9zbAzfnWXBqDEb8+qaH12NRDzQvyrru
zmVLnUnTBlHh5jTmiZfwtrmyDNYfx10jkwlCib7Xudl8SUzVlWsnurx71XsvA+g1+bo+ZzjWBtKv
4JAiB3u4LmG/qY0p+yJxoro5J6XE52EyyMCteW5FXtfo3HGb1qzveVMYwq0yW5deGVdJ6AaD4qYH
HLF8dLRGF9BGVPskTfGXgRk2nvUWC1a4N8BV/7XGZHPFe+o/0wJqzCFQawoKbY8MrClgS2g5vT6n
HQtD3+qG9EsDp/DoVPM+Z24Dm4gYdkCBDdSK1Qu3TxCdZU3VY79qcv0YdUphTxgF8xXcnt7A3jtC
jcsrloSTMI+jy6R2jjPlRMqHoIrzVUXlSZK2rJsIZVhnooqabPbrt9qGAU6hIKiwA9cZQ3Hhp5d+
tczy3ghbo0jVuYQ92Nc8hBXTNRMCQ6OQdXfZdpVzUwQ4/fbrx24aKHB+MAcLD1EBAmMR/rNW69Vj
GepCs1ChPJf2gMF3j+pzqSpP2EH09ddP2lwVn58EkQc4bAOF0yHeMBpn4CT3Q1lF+bldIHNZtnmV
zgJt98RNimiCyjodPIp6O/diytrs7wbNelC8nnTwlmRdBsOESzfAfx0/HiIcIgplJs55mbBlFtds
CbwJ6AAksJpYVZ67PQLoZ21atsQtk5yvdOqoRev05mln0Qp5tI3zBIhUmX2hVUGoH9l9vyqMpvCR
MWTcY05uVnNGraH+G5uyLl461p+vlw0Ik8CV12CMN4GC3R2TjAXGGa6DbAk0pwpdbCRami4FBwP2
VZFIfoS2U5x2QwlcZW52wiO44T81H4Z1GCLknpnHzUpUlD82rIj433g74BSOtYQ4EQyiddFOyPth
Y9MHvJFAVaTpWQxsXuDYvnaiYdbpjjpT3dS1V3UlumqyntXA20Xcq7CcKVLB/tIsiJekZXZdpCzr
XJ624V0bA+vcKwjeFMDhfbFUYvtBKQOvzuNYuELTuHWDWMnztjDURWkMdBKG2IldYwhk5pEmyubM
0uk1icPLsJe0c9Oal+c6KG81yQzqWw2wPlj0BNYGoK8GF7V2fJpGzL4PUG0eR5aNT4ewaxyvBco5
82DQiYVhV33mtuBRAE3PDH+Iu4dClfqmRgaQuW2m+TRQZb0wA0Juywi3ySzgBhbuECXBD7gMrGqA
tCiN73UGbE9RKLJIclkscOmkj6IpLJj3NEtuhBN03G1KMzyugqr2euiHGTaJc1G2WTcx26oETrLD
zSSF8vSh17ShXXpAcQSTTNHKrwvnIgqMEPkYP1FxBWk9iWLLtTVPv3UZik5I5RQ3jGo2q53YIFNl
ZcPStvJqolAXD9MmscOp0XVoSVTa/lRhUTBvIBrVrgxJE047DWEu2rbtpA+b2p5WeRD5wPdlcwlf
deFijCqHjgb/3o1VHBseD1ru8px1EIfRaeBRDaQ1xH2SSWjWPbpqKTZ9oSqUujGMJD2lunXUrKO8
OwWSckiDK2A0dQY0v0h7WT1GQUTIcK9ao+MZsAkVLOX5A+mzWNMK7iis6wKd60RnSXfsiHKYNU6t
g0VWCVG4MUnzG8QNuoh7CvxRDRgEbl8ipwO4Mtv2ZRCAPdRp0pYTK2lD5FWpxsFFVCLgdOdJz9vI
77vUAfZHaQojqg1yrFoP+FBjahlRHFw0MHWs0CvtAhgZTBOVTWUqKsdNSzBewaQD/tozAojHMrcP
kDThtoMgy7zIqdtg2qY8zSYK4mDJlMkwGzx7YLBiSpKYNYRwKiN1G9WH6lIJI8smeSjsn0bdcIF8
lBM9E6Zd2+fMCMLgWFKuOVCbslPl0M8hckaraFKEEc8mgWqGcupUSoppn1pZP0dKZYXHSJ8Kj3es
T2eVKIXhAazkDjjKAftQ1jXJfPgXGRdpjAwFXS7lXZxlTraglaPTSRJp63qACAedxkZO8EnUAqcr
XR6RSM+CqinkDRhjehyHA0mmdQEaTHKdhsPExt3geHbcF+1ZZvcwtA2YKhD4wbgGZpKx1A8DGtY+
lw3AKbgC/0QOMR1WaQJpbb4NCmQ+7bOoXGAkzHkI9ChEfZOkpL7IBYTZ6iBhrtFWhXMZB21selSU
8eBmRTwYJyhIzSkugpCBug4vJriPhnwRCdyGk8Qxo9Zdf8/FDoRMYPiEtPS6VhiDqzthfK+g7lNv
uALmETnHgxSDcO3GNOhtn7akPrcKp8996ZT6jNUSTFKoeAICTgY7pikEa7G8H3Aqo+Oyz9Juqlo2
iBOsQ31rxoQtWRdkgWtjGLzTWnacTpQ1CFC+xnHmp7RMFERsgonAorxP2xY8iziMmxvFrPZHUUV0
3vA2DCZ2AqkIrrQDaIeledxNZdXg86ErqHmlNMO3WBvwjdYylO1p3PNu0pAsFhAmIKRdSB4qciEM
7nyVqFwPzjgu1YynKlKXXW9q20NlC9hErQTFcgWL7glYMOcrhaBYNslglayA7nO6fKGVE5DLuKqT
5JrY0jEhXgKk7Jnu9Nr5jPrukiWG1U3yNoNH5/kwNG5HMj3MUMLXL79WvYX1CfQqMnxuMglvUZcM
ugoC8sngOUkDU6dIw0RcyYrDlK9q8ApC+AzWVKJldFFiE9IHXFpECOCG2FB9lhlRoVyB6rKbdogj
CgRFSdaLBkwmD94IFpDOwWs/WcvsawAXDhzbjRC2a0csgXHRh9aylRTU6Kq4v6a6Q+okBDc3htAs
BNdubLAWMyURPi+dsLyHMzNW6UZmJMhxbodOfRJEedj4fcXLFhzcns4KAt3qIV72D0masMuuViif
l6hvkrvWykI1zwID+NzBWa8hokwjoHwhGWMiSB+paWFlzp2BgBbO2iIsXW7CMtdXbXQtcq1OnCyJ
mc9IRUJY9oCyc5uIOF+r2GjCSUokTJMBsi2chSlzXK4yWJD7YyjzC3OjXa/Yk5gZ0KNdMzQQOmFt
eYKrmlhe4KS6AUtLGwSudxl/r5zGuTV6cNOPB0dX+FEr2Ss3g8BbsxAtgaa6DEeDZ7ahBbkcAEvr
GYljTYe8afRZ1/P0Jm5U6dpczc2sa9h8aC0AJ0FYDbMCQif5mbQ689TQyMwnUSmz5gRinkXk2Uxl
0S14IuoRORKWEVg6IbiYRKpVrtM2dglWoC9v0rDE4hvOB2pDcBw8sP5LoanhQGMqqCYRN5Lw2AiK
9kcUIqPxIIPAShbCQfiqU0YwzKq6VGIihhoGqSA6ppddkg7sPLOKFBj0okHWmYkjs4PUlrhVkzYq
ALXWliJ0q4FnsHb8D3tnths5jm3tV/lfQIBESqJ48wOtISY7PDud9g2Rk0mJkiiRmp/+rMjqqsrK
6gEFnAOcA/RlozqcYYdic++1vrXpXF0EC11sPtUksfst6fH063CRLF/F6rtMgLPoX+ZoDZ4qZfGs
4aTjH/CsN+6u5W2AAks6Xu2SRgERWMZXkoxzEqRaT+w5Im0/53Mkh/AcijqZHnrhuMXhjie66EqK
TxODw7pcl3TQ5prZTtE7svh1fBSL4fi9Fnh/Z209WLWNE6gZ6MbG4VzXAu/fci13TiVa5fPi+8e1
D/G9X+OYlWkoFDt/Hzz+uzWSc/nFGmfeh59Fkh81kv//v1xJgXT2uyhygccuzsAPc9qf5JS/1dCF
vn76xy/7VU+5JPMgV4D4wjK5X0Cw3/QUctlQhrAHpcSnAUCwX/UUBIA4dt9QzCqXRf4XRuw3PQXJ
AehwgA5xJRqivFD8fhWU/q5Y/Ct8DF/3n6aOCDezYI8HagpaDp/Tn0bLZJE9HxM13laAqk5JzcOz
bZerBKZgFo32Q9w0eV8N+tAaVm/flHG9dz+uK3q8DchGsNRAt7o2HfR6P8jwZFxjdn3tyjTYVugC
OvD2ZT2FadipndSTOqL59DPZiTBFeZAq41Pf7hrW1ePjKrtXDoAq9RBmTxk6gCrriAtP0+Jtp6hr
FyWyNVnL01jrfCXCOwyefZe8BQeBKrxfA4PhKND8WI9y+tAhGXtFylifE9qi9y8B2VDVFUmz+rsu
SMp8sp6fs4m3uaEbzeu6JCmJOcoF0A7N7FD0EhbvQIZdtHQ3SQRWZqKG76YaNpEnBrQUqp0PdnY3
MLp5Bizs1c7yeg3mQsHHJo6c/VBezRu89qHqwJygFKZVkmTz6OCV4xNOpfCGAv+YfBezid/WrZrE
ro96lWImQruqHBxJOz4oTR+Tym/HYwcEbLgvAS4cMNVkba/iQx+trn2MB5/bVI2CTSllItzTYJ6q
NBLRuxbjfLzsS92PLfCJrWnv1srdxGF3amt10/vkKhm8nXHzyWvi3GwoNfD7/GrLgAJ9nVvyUA78
9X+kxPxfKx6Q2lBQfov9/al4/BKG/rl2/PKqX2sH8p3Y6Y/yQJH95diV9LsWi91nUAhw7TUk3xhf
W4gJv3OnqBqX61MjH6IkAmO/144LespxLxfkU6xtiaHg/oXageTZT7UD/zCkCh/vAWIwlsRcdJcf
BDApeh9dgBlvttrAQyvHN1BJAAT0wFJ/qtFm1S9RIMpsNQLCH7i8KJhdZtvprnHmyLjwUhdh4kMJ
yJ1XXqmxOoPhnFNDykcIuF8nf9KZZy7Drzc3YCMJyLq+SYWPcbBxAFkW/2Xe4jcUiY+8lys6RR7C
LsJ8zb1tB0rAK/pZqZRYL2USmEAJniFK2rduNc8TGsMUfVqXiTj+YPvh2C7ty8C9F9GuV+Csbikt
z5NW14Mp35xJmrTk7A5z05eay6Ro8IvBpijjPSGA9gLzisKyFiHGJ/zYVWd9PR8SPj+vpLOFHOZd
GG7g0yo6oxErQe94yVcATVGe1PG1G+onIDg6S2RURDp5MCX/2jt+V0YLAMkeBKwvq6EQ8wwhcPro
6/aLGMyr6MmtM+2XMIx5Nmori7Gd2cGx5k52/FAqlwKre6vJMBVdnXT5HOs6nTvzZQ74WXsg5hq0
rClUuS1fw4bvyn6yGQ/YNWCZUx+K61aCASo7u1vNvPPtfJKcHySJHtZtei/D6htr7BMt5V7Q7WMj
tyb3Gd4kPiTu2yidZ4CWxK8APy19fB9P7qz48l7DTcyF5++NL/xstBUaVp+8hDJ6CAcAnEmpn0JJ
3tHxTse1vLw8GsddSMePjQeKz0DhBWG9g0ZR5mIcqn0c168mrPSOdOMNURfgQbM6A+0UpX7opfGm
dz7rKkCX/r4flLmQP1MKhWMtmgHyDgFOPIYlTfst2cWlc3vhuqtSNP1pazRQjUqsaTRvD6yO9nMb
7cY+BKa6QS/HLGRhvi1BmmyuyusRT1zEZg9qAx7i1eEzbEiHxt5uj0ZCwxrbZCfFtINW9rgl9FTO
mqaM1G3qeiFzWVfopEf9ZTDLR7SwQ8ri7rMfAF1ujcjsvCzp7JeHuLdeZjx18Fuvyj2m28z3zT5e
/T0G9jFzvscPg5qBDE3Jt6bqr5MFun3ngORAXjjGEnQTGYGnyWZ5Nn10EsSWKZ7GJo3p8NmNvMt8
G8RpuHXbXbPE5CpsdZsvEeXyWBOg27nW8wvAMDsV1nOq/IA/gxhuyXAhwOIyortYNH77xMYaAG44
dDAOucVwmwVJw+48ocr4bu1LdUf7Rb6WY1e4Go9QGqpQ3HSAgkAYjhd2MvUjeVCMy0cISF4mebTc
+7V3ErIvabGwiUYpHOotX5LY9ceR+SJO+3IZ0Kz4FFKGW2kWzPU9OIal3/sVJR/1DGTiXLfdiDpT
qyBfYvbFlyPIYR2vttkukhTfCqHDqAcfSZh88iEBulcCzkrkim5E5b3fxOJNR6UKzz6xjZfWfBm7
7D/HJXptHHw4Xf7FcflNfWr+1Gr/8qpfj0u02rAEL3fUURxw303I31ptijs0YmArsCEJAhmwxX61
LrEGOsJtWAmOSmjv3w/ZX61L3IaGDYY4SS8WHyTG5K8cl7jL4afj8nJ5HnZ4XFL9JMFEhv7gx+Oy
rcG7gKtMbieutMsrSp8BHxyqtvXQz8oiGEI0Wt60pmIaj8u8BqlpSFwEEz8NEUQ38LzBTlbrU+KZ
fj9WTZ22AU4REDlFNXZfJFmCANT5uAhUQjN6OfXGDy7ZwgeoufM+trG4VuEaH6uF5XFPkP5gkz3D
+RnTSBK1W1jweRDu3Uc1PXRzewPk8MLjG6eLchkf1mC5Z0h93PddU2dSz0nu1+2Y2iRu8Li3YMlQ
LdKVdzxt8K6SRe8qOXqHoGKiqJoStPhYfg1asoy5m0DSDm01HWInZCq7TaQDhUSlRRvcClIZTNdw
VAfF2wML6iAFFX2/lSiQlvlgHTkK7kZ5kloKiYHT+VwzgJ5GnZaWHAbbXMBI8mmAjHcVSwGneJhg
cYrqAXELfLXN1eT5YWpjWmVl06/7TcFlsKMtkrFXmVWxKPzEe+42h+SIPUDKSo5Rv90BFV5zuE0v
tGdfjDU3PZoujAzqFCSglgbxJKe2wrEHlUHzd9uFR3/k5wgDDwYCL86CNmTQVMzHaq5PcVu+LtXg
spV774tMVDYOOIPr6S1q+beuZVBeIWFlVQuevI3xZ5lq2qVUSXVdlnADNFSRN9Kau2StPmifwV1p
4MnVLUxXD+1H0ZgWQpNzLzh5X5N4yUxITKFlCaxflgpCXv/BUK53jV9HKSqnzGFfPIHQy4DmTTQr
J38o2i2YsrgGOwqn4a5zOB9QoqvCbuOXsBs+Tkp/bWSL9osGXzuhq51a1HBqBSQMDw6zbNm0ixcq
sq0H2q7xuO5HVF5EVMIGjVkAWLML6dEbOd/LpKkymhh8EUzyvlZxHmr3mXboLzkckCKonM7H2L3P
bRfj3a5Nhu9+l0EGrHcloOxYIcfCLOdZX+I7AnEFKr9RG6TvPqMXonpGJkoicwMrcrmlkziQqL1T
S3sb6+ToeSV0niOmXzGfOX6mC4fHrp+HLF7ZnW7iF8abW9326KRoteaiWvY6CKDSlrjccfjIauXn
ZhmAyVQdLxzjNjN84JgB253R3ZmQce+85hkxhKPu5fXQdM0hIEC3yHpHaqQuRgDpbOZ42pfltqnJ
doLU+6pceRPFmLhjf2bHqmfXhDc3GN73tUcHCFzITxmttzSOhzKXKkiAyAblcazKazKW10HTvdYB
gIhkdmMaB+I5ZNHLaN0taXS4h77L86UK4gx4eZTbdlhTuJ869cZhDzqzhSW1LZm3Ng9zLF42gffX
d6NLNzRN24DXSejsqRzqvKv0UWz2Ww/1uCBb3aU9J4iQmQ1QT6xTjj9rNg3qhQh6P8xUprQc12Kq
XJjrCckx3fvvGIyuwrK8LuF4pkvdUDzWPfDV8nWL6ZMQ+NytMAyKce2lugoeooS/IkoB1o6298Rb
ZggRSO/wEWEA5Ix6aPQFcdO9VeNetORpUu7sTx7w9S45gU7oU8Ga+xoc78JK76Tm+rmMhjZHZ3eK
16QAsI/AwUKiDHhXncXtrIs6BCW++eq8tTOaPmGWHLmPd7mJp76TNF0DovHLqW6/qOqr7aJbaQIM
1sm85UgJkqwFc3M1Ayw+DEm3YzNDsqXf7uFKzIU3DV2m0fAstCxG4h246K44b6Zd2NkTEB4EYAIF
d6xv1j2d0SbVsYl2olk/NtbfDdL/1Lul3C9EXTqo6SYem2cSTdcbM3gpKYtwCne2ksVkkis0+YfK
ieEAdFFnGK3KFLDpfmXBly3ozpFEzV44LeJKFX1gvw1VCWOh/7QtsmAlvp1uHTMMn68maXOhE50u
sE+E9g9sQDWVwy6c8BD4qEcUJwUr6ySPdIvEw8qeurE8b2H0TQ8olCWNTTHVGGT8dUmHrTwHdLbp
4vitBZ69J+H8AU22S5M6RNRkRpxuIhjyuL230TSlMdvM3l/lJ5ydtjClGlMP2lKBeTu+TRIv2XvY
mLi3zn4sdfAYtWOdmY0/IxXxWmkFSwN1AW0wHo2adQEqSLDbSPKZimTZW253eH+fbdUb2D7mqxNb
nfIK6b4W7eANzIgoF11/hzPvPIf4bxDKrwag2umA2Yp2nil4M34VsQaxx/qvVIESrDjkZ0/obJjE
GQGbMQ3lqnbc8CmXyxDCrx/ry7esz0QS3Sjm41vWlW3qlWZnRnmAxa0KhjqJjjqdvfZxNZval171
pln3JZpZRlXT7IXQe/QR+AzE9BhEXZD1U89Om8eO3aBwFLehhvoesqyEipfFXuBu+Rbmcm3eta9N
ljTz7cJEnTpPXvu0bDI+dO+J18oCuubrbLyg8Pomwk+KP2kVRWknvY8AVcS9RS4L1Rwe1Tmc1F6V
YeRl9aiSoz9o3t+YujYqTm3pS5lWmES3AmuGe/ULCfzfrWz/35OdLlsd/3kf/bcGV4DbP8tOl1f9
1kfjwjlQviQCiY1LywJAvr/10dhiQVgY4+KjnxRr3AGOFYRYRRgBs/ml+f61jcai9wD3GoJewgpZ
bPtmf6WNhjT+cxsN/on7QK9w0TRuK75svPuxjTZdtOloFe7Wr+mTNu6RuOiqCd29XjDYz1OIwKOP
DigID9W6VnmjtUAeJp6zYRlF6vcdbLp1HnMYyw9+uOE06liQzuEQp24L7ge/Bz7G8bNaFMgCU3hw
5NKStFP1o2Xo67bWJGlglrPX+yZt2qpDoZy8zFsikQMPqIr6UonsMPc3fts8MajZZzZt7XVFyIB2
nSAsK9ACkZrtQwe1OZnMnMUKX73Ntk+qTSBFew0qA2JePVJzIhlk4TTcZxY238AofQDfgQGTRAdD
vUdv06hPvTtvFyt3i+Rn8JtV2kfjmlkzF609VsF1IOnXSX2yNBu4PBgDjWGeRvBa24j6ueo6b+tF
52RzXdGt1SfQ612KDubrOMwnpMbmlPv4hewkjs4md6vH0Om3hbddj0NwWsLkLapiBJWqMOVr5Oec
RddW2ruygVIRTgn67yW41bGtkewciyDx8ZFQhii0lO7IbOinoDYeiJzDe+6pLwtp712bwLStaY1K
pIId6Q2SImxC+ii2Y9EJMxS1thVOmhnhHz+5JqU6rmMZpohX51XSPizaVam/jUHRU2Bm6I+Q0ePg
f5AE6QvZD9OjHHyaiYC/SM9UyHJ3+96vTk6zp5BvnwJPtvtm1emAHriaFM8NURqIkVVpF3bIjk+X
xHp/ogF+l832e07Ru2oRtP5dFw7tYyJ6/MM4qToNUDu0X0ozIxE8eXd4wD9xU5oUx297Ujr4aPvp
bMGt5F4SAsSc6bdlHr9NbF13bljQQrlEHICSfG7wFU0N3kqmYXDsEOx5hJTqrprEP01V9dpt/Grr
A0yURu3N7F33CCWmzk8uLYHAaKnFnFrnboZqw9dnelJSfO4VSw4tBbxTec0jshgA/Mn40lOGHnWQ
hyRCMGhFJ23WuNklroV6FD1b5avTNLQxGrDtET9zvu4Rq4KXb0wxyNhm37mNCfnXXcAvH95C18yP
RZwHInxxprLZtI1j6lzbnhwZF+QfGUP8C/G02tVDti3OfJS+kIdWKXtXxRFH293nS7sGu2RsPiRk
q9B0YoKdqiB1BHo0PO62EHU1wrbXJb7tAzm6Ei2PqWKVWzIe/S3xj32CqFUg6j1a4RCJfrqmKIto
pGH3umqAkNu3h3DoD5UX55XZBmBVA2yp2sOoHYVDBqxjSddQsZxLlw8hGjvAHLkXRneV5Klx03Ow
VFeRHU+Grjc8tI8Tm0bMY81e4bBP20ZsaauDm2kZkQCPWuQE1F0Tjvdazh8SvZxds310AvSABlac
Nqb6APTuFC7+YXXuaUAKJe3H1k99Y6CrIe+mXV8w35pdsyYO2vdyFpbe6xZI/TIHiG52JzKObbq6
8T2MxFspg1vwjTfAMe/6ivVZMrnPQkSIAOrtY60cTcM+SQqwJ2+uYRjoVjQYA+mejAqvFq+7dGp4
asDfrvoDHavoUCLVSve434MUyoAci0rzS8LmP0e4/y+lsL8hD9t++wdHOF716xF+sYcueRBIXthO
grP6hyP8++mOu0YvUQ6OKyp/k8KwqYzDa6K4SjyCSPVdoPr9DKckxl0tSMhxhFr/mnOEJNfPZ3hC
CHhtCgAU7zOIf5LCpIVuUNGkvvWC/lWWA2Ccsf4crNGxDjBiVsi1O9R3FkFimNhuo/Kar/3NnDQA
mOamPzYlXKBRepllI9lBRtv5hj7O5USKhJkxm+R67Q8ijz2cYWUwfCgT0mV1UF+rqMfU6dlDrd2n
Jl5kOgbhV0FKl3VeIzMZLVdLMn3VI7rsRMPCxcBQxCuUo2Bt0YyOXp3bJlpycB9DxkaOeWf142ww
7bprDYb3NYpy5DWvRijkEFiGjxQUbw4g56vx4xMAb4T1FyR15OR02mA+jBSg55bxu40HL5NA9rSC
9wHK15sxewz4n3FVZpvsSNo0UqRMHCkmqZXBfuoh/qRkXj5sSp4H1l51GA8VfifUaOhjDSEPc6nz
Scqm0C05i4A8ibUe4GCPEPg5BcLvpssiCS9Jw5AeGrqWGC+6lySCsRBjghqRRUdoXT4OpOrewKF9
WLdwvhoSh8DZ4PY19PS06u3bIgEbtXrfdDPcgjEyaTjDzR8pJCBEe85Kkg+0RzEZy/nWi8O40Hrc
chJtSC1zcF7Scm/vmfGBeuprVAuzB/OWBSDZrkz8aVg+AffD2Bt/gopv9iMWntQj+ijbQfD6wAPV
PtZ+3elvpdy+zot62CjObDZ2BqUT41zyyQbVjcDzjWGj9Q/LQMwtsYIjDyjcaeUiCzk8eSwigXy4
om9QfpmpkK83tNqA2JSmmfeghV/mds4ROldnuphvIIgw0hrJETePEyxI+d6h/6fORZDh//mo8vdb
0/5c6C4v+63QJbhmFdlAbGAC2/IHzf+7Rc4xjuAGGgST4h8KXQi8JkABwvY2LBO5ZJJ+w2sohpWQ
YG0TAiXQ6vGf/oJFfjHAfwxORNj6GAUof0gXRxei54+jyuJ7crK2hUF+8YLtmEqHFQdwkX/4u/yd
6vl/PyyBCr7nbn/6h2BiABZCfpkQ/+dYVAAasI+rsLvxx4g/a9VDY25YvW4HFPoIesPQjuHRQaR4
rAgU9gBJ5ZcqYfK1M1VysnLlVwHDwNEhyLPcqZU+0NVMIM9XydzVpCtH3yZ4t8ndLPpp2lWBCfMp
nMo01l59O1e1w0aTrjMEVGmNPSyJJ0WVlk60UFdWXkTJZn3UwC9RHc43LOzq23D0uzoLOl2vOyMW
mtXoirzaYcUPlCRDb/0piPT1VFe3dtAzgOJ2AdJ9hwtpvkWu+9r2EkEB/4lN/QFxsH3kxWZPfPwW
XlcWPBQ73hTR0hzFuvY51Q0WHdkgr9f+XSWoDR0C96R7H+n0WAeojnNoq1eGiRKNnB7PGG/sTQ/Q
91SX/Nzxpi62jbgUqxboe4jgxAHAnY/MUd8VzSSwSKH2ooLMyZkO/Ma1bs4hF0G4KTeyH1r2vAbe
xxrLoHJEZbAAZRgkYaiNWKkgMfcU4C/KAsk8/IgBy1IwJz3bcKBLHietenBy8oqRBbbgi798DOty
xV+RmCF1erR56Nk1r6LtoY+H5KQ8rIr518/YP0iO4cdFuDETlCq7ACl/fJax/KqXEutablzRfIIO
Fzxujyz10j4bDu0BA4XKZdHsWWGLNo1O4Y4W5CAy/W+e9Z9aB2SdQcWBYuG4Lh18CxLWf3wf0WLn
UTpkoQSRp7VWS6ZlL9JuDgnYVc2LfhJ0Z0kMDxtp0rNkVpwCfEbYn9RkK0MHLnxwImR7w24PvnME
8O4wdJixtzcGTCrF9i2FjN7y0tcdQ/PcrxlzFc0hZJI0UJCWI7UUK8VeoaDNKoHNYGEiMAzww0Zh
SxGyx52GQdoPFg8FD7OpaQ/Vgr1sFMsWjN8VMwAxIjRQmbYMcixVwbFeYXaY0OJAXN33stKpo/JZ
zuYQ0OY8LomfekkHQBsPGuN9uBv96t/kfP/oT15S5AwsEYsvN3ZR3Gv9E87DNzLzrhH2xp+aao9C
UOOX99vMK1URGYzUYS8//Zun6pLn/b1w/fnf/OnT9JaJ2UlLdwPw/zUSNltGCSndMTDI49n0wk8x
P0In7oEj1m6AGN2u2KExqjTxomtTJh/9EtTy5Lx32PO7ru/PxMT3vti+RLJ/a7BfDuvt+u7q+xv/
z5kc4Hv9z8/kY9N9s+Wn+s+H8uV1vx3KCAqDWfWBmkV/d9t/FRCDGHcaxMgKkwT+6I8ZYtxCddmO
61/EPaBF2Mnx+6GMu9RRdxIk9+gvHO1fOZTRAPzhoUOcEi1BhGOSRri+HaUE/cSPCiJT2AC1eP16
XmjXBSi1fsLOHaOdePe3rY0QUYLWg8GBlj7bDiYG3dJC/6/AssShfhAEK/eSVgD7DKDMpMjlf5GI
+sDgE+gw9aMWurlbNb7g/RaTHY0C2Euh784mjt9Vl1S5bkiTBq0rd2ocKST70hZDDC93aoLoehtd
gzUh9YCovcbUni0xUJmqkvam8wOaTiW/ruJBX/G4bHPXzevORnBThl7Dhm9ggzY8wGKtOuA34bSe
AKVcJ2YQV02J3Uja4zqVnBLkKkhcpw3k1N3CmcopfK2sp4vGfqbvQ0pd7vpkhPkVeq91HNx28dKe
mBqfghj2pmhCZG/KuAOGs3o3toq/zC1c4d6wYG+i6n2rqjc2l66B/BdgB45g4rrD8qJn22A2Q6L1
LB01x1FV3wZEl14JlCTs6sIOvimu+5y5GpuFVgNPDogvh1svgiKefe8Udot/HWFl5r5UBC6DHeNr
y9h9UsvqsQnq46zWJ2SU29SEbbj3E3PP4qaCdWxbcEAhdggZJGU2DeE39CEdLqv2rgOFiYitVkWv
U4eQhPCpvhrEGsD5bLxVwXqxNrbYTdCkExJQ5XlFLAjZJxkAP8oq/CRkrbiHNXoJ7z3sQWNeBEdl
JU8eGesSkp/eTnZq+W05rZChzZYY0I/4I4hbLozMVAlcYAq4viawYdGUbI/hZLEL7j/V6ztE5ENI
+OfVC8m54R8JJ3jRr6ULDBFOwBiBdx9jBYl/9D6w5OBiOeCUZDgeL1zt7wwRbA9ULFSui8HxY+m6
3EP9nbHH9g8WYOnrXyld3/fJ/nBegne6RM5jkAy4GhnLpy/v78fSNXWLQ4RR0Vu3hD5k0ek4r2Gf
B4CJMHv2O0MJaJxhfcF2Npo7GX4BG3M9QJXLo0tKqVpAhA8WVuRs/LT1sdSv8i2IxW7MFzfdLDZ2
ecityYwZP6+8fVWlLBCde9BhtW/X4UQoeeg7uCNVj62QvENHbANy3aKKpNJjz05zk9XYSoL8kHje
TPUSIRwJpRrUQLw0t5Gkt8EcF7w3J1b3Rx1t9LhNOPpHTZJsUsseixTQDXfviAw8jLOMTq0U+261
n5NyTbnbPiwIGaSaNCSl+BqmMbCEHNU78xdIP6xTH+ZgfNPLFGZKqwMZTQvckUEMURR9N5RqbE2k
NxpQJzaVAgSx9r2fFKqAZ6A118lt2Vh4OrK/raKpOy3NgNBPCb+ENUYj12QvXKsUNy42PlaTjhsQ
w3B7T/D9vplC9mUr8cfFrjB1TxApSpWz37CzjJ8rUx8j7kE+Jd2KpawuuXXl0hSMzfjUsDcztXKQ
mW5ALcAQUCnE7HhfThCpYotEVrgwee9LGuy3rpJpLwG2NO0FnJhnk5YNhf261tWB0qUuPICK+0pd
VgNsCLrHC4JoEIiRZxNBHizAQ+sQ5w92g4pdONO6QFHGoGJoU7S0uka04GobKiAuwXFY5ZaXTfKO
7VtxWrEmLDxX0nwd16oIBFv3GqviCr9SCf4QATa22J7vhyqGcrXYcc8BXEDossj6I0j5AH0l2Y9d
pAqMclgq7AuRT2Ca0PJS7x6HVpg2G37Tfomx/Cz2410ivSGr1jnBaSC7wkM8E5i5Lk9YmzvvQa49
rcTdjaPfFspLVoBe3WdTAxstVYxIcM/DU8ehO8ngstJiu/yJStK+zS6qnltkUVN3YczWC21GFgl0
6kKgRQn8OHWh0kr83VNqwRwnM1QgNYewDxlANsyUQN0vbNuEE+LgD9VujOpCiBb+BFJpaXNh4oAW
NinsHEy3FYg5e2Hn4gtFt4Fnq5bxIZ4bjR1rF9SuJvUN0uzDAYHH96HdPg/BpHZDF4zg62p7LhFe
y+hl767t42O8zuI69ti0T0QbPhDgfiU3gwda5QIBqu9AIGjaLzPeFdabYoWlquDaJ6rfe+X6FHhY
5LcoGWc+IMP2QhvOF+6QA0CEsrZCD4A/iiRxUV4oRS/0DyWlzxOMkQzZnaemr06sau9m5jLPY2cX
vQlGrkYTTx9hKH6b4+F6AYOfthDe8mQe5+sRyeUD59gOWlponFL71wT/mgIeMU3he4+gbxZs9dmf
/SCdOPuwJYAmympLoFM2Xx3D8gZku4+mWu8RjrgeI9AHRk00b5vE7HUZIMw6qShfVoMVmyV8JIv/
e+ug/zJHo9264iMMsGNs9ORjvYg334yvXYjyAH5sypm2V+UcfFo0NoA6TbEXwBn5X+ydx3Lkxtpt
X+W+ABQwCTctoDyrWPRmgmB3s+E9kDBP/y9QRy22zDmhuFNNFKGgqCJZqMzP7L32Rus1/EPowlPR
LBKlhRarUWy18tQ6w1MPHdy3FXFxR9tBtmkXe8c0+S87NWGHkgGm7cpjn6g7PIGFJxlOJGpZX8cu
+qoE3/dKGV2/G5v3FknIypQI2iPdesGyk5vrshhPhd59LYW9L3rzGSuguY9zbZU08xcABtj0y3HH
L51tIh3rQ67NfmbZ5yjhlHFLKpFmQEKkoBwstZ1SW7tpqP0EtDHKkeGG0dNVprfsQOPsSwc42i6M
sxZWW0XU2xB7Pu+pN2Ya/26+RU4ce23cf29j+wLvo0M2NO27XESMJzJPEekNlmqFuwAhkoGLostu
clfxtTi6z2DERBZizj4r/D6P77O481D3o2gPWnuVM68KHO0qXki/LdobV/dYbrwHfTEtGk9l2raO
3jpslFGOhVZxq8ZNs/63Nvq1Nvqv01bYG31L9/6zBXIZsfxUHNkuIyBU1v/RQ/8uDCHEhlQqQHfM
hz5cib8VR4b7C/N0vkRjZzqquuSf/L5VWnZAmCAZxy6qEfefFEe6Td32x+KI+ZSgeeRHoF9cvv7J
j8R8JsTXHojrdK7saT9bZW58kZHRBdd4po08p9hRdKiFy3PaR3eTCMUqtUTlF3qvrrQAsRsIm3Td
u53wWzNXd+qQcm6NBtWJLN+0aQ49Dpw3BKyjnxswjqALH7Oc6r8OkktSYxQOg25d5a1YSQezsjPN
nJkuVRULpQDxZCoRZuVyHTVIJCOrO8Jsc1eaHT9JzbqJDajYWY5WdPQLOW/jmt2YVHNA2kl5M7MP
Lq1y34pljpyVcBiQp3ku9mlO0/nNTZoby6rVXc9JziJYv+hql516MZcbCAWFrwdZCRyk/m4E4Vuf
sL/KFXvdTe8DgkYf9dhaKkboZ8CeR108VUWIZMAZqp1oQcI0xoASsdKilVGyLIKs3XiaHI/GHCdr
vZnfeyfY9KU8au6w1exx01bltjXadQPDhNtNcpNAgm+k8d7x0U4H9t6uuqJSJRMAWD/6NHZ6Ae5F
u2NoFt87yzmRZdUO6816LJP7jIOk64qbqlGPEQcMlmiM9WZ+I3lL++UMUse4Kbadojkbx6oOmpl/
KdoI+QitJ3fcFZiLwhPc79aBxWlzo43UP69Jk4X6ml40LG6UuZuqba5x5oRqqj7jxnTLlSXTrzo+
ljHCKRXr/Ve3jTa27obe4PDluB/eqXxaL2lHpO+g5LspOosicNbKME4bvEbfB4WDLnGmF3x19908
3mhSewWGdIDp/xLLxPUss2UWEIpvsT4eBjWcXrOoTleIe8EPQVd2JLYhU0WLYDY3MAB2duMoV0B5
7qeYXwsLLZ1y6FwHI0hhFlHs9k2/jyBXYx9wGTBM6m62v2tJKSBadI+yA2cA31/3M/AaKTMBhugx
tBy4Q5WG+hfwF/a76GuY1jMivWneOANqp2RCfqm0L0zpdyUfG69wCri5E4IYu52RfLDc1LDuj4MI
EL4olylQnpmpHKwKvnWiJw9mEIXASRiAtxiq+DSzTWUla6c2UhpQv0jlV3AHvb52oGJb6fc2oqvO
xZtsKXgyxB7plJwdXT1WBpZcq3SPBZyXlW4YkkacOz+KI0xDctjWIx5+gMTaSneztwLwNMLXdZ6Z
e7UNX4zUqO5mxYLHusg9UVQ92Ep0N6LfUt3huY5EvK8idz+PwO1DpzoGZftsUVtBBrtTLGsfGc61
4rY3kWq9V2I+5/nCWufZnK1p9iut6H0wSbdSUptAlgj7eNskkbtOR5TTfHqs11a2+0hP+tvAgeYL
jnlD/X+08N79e7UtPn0uKSZ8f9/2e5TLH3mNbfdXFxzf+6n7Nw2WaPTdmkaHz0zzt8Glrv/Ces38
TcP4eZvoMNJcdpCMFG1sTJ8vOII8GVyaOOx/lUX+swtumWb84YJzF/HjMgJYmMWCn+/zBefm9uwW
KKuuMxmDqfKaulQPGQECh4JGm5wKK3+YkpDadFSunALKWmLm3DfobaNC4Ybrkvsx7I6pM95Jdbya
AlSCVWS5KwgWqIHjGcJT9zjk7JZyY2/G1spgCb+ql03/iP696i1vRH4Rzxn7OPorrlwXwbyLItow
vhtO2HnDh2ecpZ8H7kJfNwuffHZYWCSJw8m7OHPb6GWyEBC1mZjWVMDYRZvqXlhIwESv6B4sQSTS
s+pNQ4cEupZ4hoOnzNX8TreQNLYwbuPhi9WnLGvqHFux/RXZUuxJK362oMkg/rb2xuhwftCgwUx6
tkKxdexqXvJVNhFn0spo8x3GUhO8u7NrR5weE7M2UEPjF2y9X/JuvFaX0aMJRzJWyafIRbpN03FP
WwhVf8Tc00hKaiesvoWsZP1RK54rxp44c+hGcFC9W4E+n9t0eosrMzhSOABtMxke0nCtlcLRbnWm
Er4A+eXFrN3Qio0slYb0qJm1fHFc2SCVKJtuA3rOm4WNVD+wy002GaqXQQBbO1HEgsSd0VjoRXsi
G2dktCwbkiviyg8y0LwdA6tV06YRAwGwZJMaB+tCbeNjrJbZFndQd4cZYH5EwRr5pQrKJ8V6eULf
h+5mSNOXskFrRhtlPcs2z29ZodaXCAz93tGa8ap2CQuSU1YeQO2w4VaESK4CTDkLaWq86psZtvec
q8GX0YkVBzSKUu8LXb3BZ6Kto2ioHtSJP/w2YBb9qiRu+F04Wb/OFy7C0E39OgWVMOU6BM+k6ldy
4Si0DQwnwAodJ+wIaKFmn9YCXmAG73pK3Z+bhckQLHQGWyVooV+IDfbCbhBAHMRCc6hzFRrhwnfA
YAKiDNfZwn4oFgqEtfAgZpFqfrkwIuyFFlF+gCOwpZNysJAkYEqUC12CwYd8dAGd7S0q7FW0UCgU
Bx4FSPrv40KogIOFGRVmxb99ysdhvjCM//4wP703X9+//blPWb7rxzGOxM3UVSauP3RsP45x7Rcd
iCZ8RU7RDy36jz6FBEcgLMtqWWOS+yGM+61PsX7h3DfsRR3HbvQfDnGZIv/xGAeHa+nsrm0yBC16
o5+PcUPRCeGo0/RaU0XXHNwurlQsdrlQnpwSju06t5p84uxK6hvNxuam5/u5yXfjfq8GTGGLkhEU
ILLOeQTmhWgjlvc0bc1RHfFOPAdhMq6srkhJmBA6mITgml0UQS8JQ9lKNymGh/y2TKfrUckkKVD6
Gw2+6ZlNeqzU+QLlKUJi1jyOSrGtTAKnegd5mTp8syr7tjJK/gfGXO3C0dyALCxpDlzYL8l3WRIc
kSf5knKlWiSHdOlDEOYXRRgMkdSp81IE4E4Z3Ax5goENTOAutJivjY1D+NWibkv52Fr6C/sdzO0l
n36ZzNhyylquXVMkO8CO2dptbAdZc2Ct8zp67tO68wvSGZgbo6ad2ZBtcNNkq14xFAwBVhftIgym
aGQrzTZWLGUmnGRKtuPwrNbMtc1tq2nZEZhFeGt39vhkySZclTbGb4xT5jXaQZ1kjFg7c1Id6lHo
l6goWX21kFys2u6g+iXtJiohbLHA46X1xHkKgNLtuINhKkSU7ZPU0MeOKTqzRGuKG+4H4+hUjYC3
5k5tyM9Q1PFB2IqF3yBtFSAGSyLNZKfaF602hN/3uJvqJDlF6GT6gC1ix7ovKrjDRThvVNogkbhM
ej4mX0aTvmcl2u02vSpVNfRzG+lah6kL0PcJnd2JdBseJFQxZpXdjlFxqPTmRVfSq2RAkV7r+b0R
RgQnRQ72zvqih/a5yEd6xqiz04uZTIQnUW4bCaj+KJlP5AXgaUuHdVqRC2cIfALpFO37HCHQGDCD
hxwAM2MOv87jgDiDYfSqcllKlEzbV6ZbRJ5ozK8mQ53Fc5Z6o961voHWote65RR+wAM1+lNXmH4s
JbFeU2WsgkCc2ZzmvqOa5U4JgWSRqbEeY/7LhP9vpLlre4JSlqqLstp04WvM3DdTFEtfHdWzbQ7q
Om1MBsNV2h5UtTta8Uivamb6OiYDaKXm+qs1agxPp/JusMcYfwObvqBgZlWz5EW5CKkT+RfWBPs9
D8JvpAotGT6Z1yUTgnEluYCgHXgG9LWm9rbHaBXOpNbgMSkHd+Pw6KuaCP1CBQLkB2YXkqiCUZJW
M7HL9FC0XXn/7/3xcX8IBkx/f3/8Hrf75ztk+c5Pd8hCEeB0RiPwMZr6vRUA6bWoo4XDBaOR4Phj
EYiCGmOSqbMIxLUJeoQv/XaH2HDVOfbd/4RBs7n7B8JCOpI/3SE4NfgRGKsJFtYqP/rnVkBxFCNt
OO6v+wmq6ynRKzM5A+tJ9HXX5dnFxjnHdCczzyafXex1X8XyYW74VEstw0Sg5Vc1n/dsKg9ZW9zG
nAPdciAYSXCipTlVI7zmgjMjNMgSooC8itThaU6KdzdmNltKHUYrHvobkgQ3Wo4FM8Ll2AcRDiLR
0zd0yanjxBpJT/UbQxbaF53jeISym22GUDraHqFGEx/01OrCLZwwTkImNMzg8spgzQQYBpe7Jau9
Hdv5trbdg0U6lbg3go4JfpAPSe+7bhiJqyaJ25dkCBgqS9KIuJW4NryuT452i2GedSTzBJZS0Ibd
1mmSXYoVfV7XDQlz69xceF+k3HzpLfi3Q1Y82ZXZeyBTto4kd7CKrTecRli7hpp9jZMNmyV+Lw7U
2tNbXJkVcVT1jFQpwhhbBvJBV4NHpZn3na3cSjv3CjnsxVT4UmEdMpjXrrRQoFUWTEj9dmrjN+yg
x6y3FRZX/am3CywkCvEqEQ6rxtVuZa/sAVyvi6A+025811lj5sqwI0HnAKRyB4npCoXEOdfHM/3C
F3Vqb90o2+kJ4Z94RyPTRqEXXluRbFeo2u6yaiacLfazSt0OZnvbdI5vjMM+scRTbhMa6eJLctpD
lgx4hnPauMT9XmjlWmTW2SDgaSidraCb0sqW4K324tIkNe3MUszxK8yfhR2d55IcF9xWrokfthX0
WPrTPJQnSRISG9sz76VXJcMG+v05Ccpza+BYYkHDFv+QmMm2stRX3Uw2TtydKkA0Yekk6+WtD233
XjRQ6HNt61jjlSYRhvWueu7BsEx1cm5IEKwn3GWz8mBGxh7QEO9wT5Romu9bDd0LWnM3qN9d0Xqy
yJ7sJHoo1ei2i5RNUJlXhnA2ep+f1UQS0DhpV4MYv0h+CA8ApM9K9CqQ2PFtDUhEdxXa2kaJxyOK
8z38O6z1U/Pe2PqtdMfbZkrpkENp3thms42tITozoj5N9IHXTaYme3YZgN5ivTQ0eD/8vcyxvlYt
k6Q2HqkefGuGus0ja7Tyq9b9NoXjWR1zX+TGlR2HN2PdWf5IhhqJoLZv1PUrlw6Pn2HhDQ62Yy2n
jWIEr3OTnQaXvBYn7++Zva4NxUAWL7p2rZdgdTXSAUkVw/SrRM3oVVIp1nqknQIhbkUTMwgURAkm
I+84s8pLUinbVsDfJqcVMkaK/bElEKoetVOX9Ns0wDTAYFSFMkCYWMe7tbiq3L691CBovUK0R2qj
BhRAywCdRJ4gvTJqZathec+t+lzpaH+GOv9aiZw3Y1Z8fUBSC3+JP1Zn3ZiZsy9BgPpNmRjYpyj9
0GxixyJdrlR1eFMRrXgSV1eInnpSyxQv18vnDjIaEs1ceko+n3vNOI1p/M0yalZhDoLVqgCAEUdc
zIm8tQr9sXOtgwJzyFH6jM67gIUUDyeQaNNKCk6AXMkqz60Y8+l10K+GuKo3ST9dlbU2wE+KryEl
P0iLwUkUjfehZfK8QxkpWGhLJ70OgGF7UZ3DB2iSB5fq0XPjyF0JUxmu5tLIjpFppf9ChH4dBC5m
4P9y95fMd8u/uPf5rh/3PoneUDDpDVHSA7D6wwhQtRzDBjD0a5LJj97RIeQEtaOqGyhzFpnP7/c+
JQHGT/XH1uwfCYCg6v3x3l/UzxixmDhSXpA7/fO9L8CiNKLXp2scwc3FTuBwxFplP5eZ0A/TMq9B
rmZvnE6qp2GqAgYmzHW0ZcJjL7MeaMzZdp6JqbXcMljbSodeO4Ya4NTqOcsi9yQNLbhiptncYFvi
+yXlh9/PnbNWy2rcAZQ5jPrMOKaLup1WGelXbsJimxRDQOokJWtTteNrjpn5UNaYYYTSJb5eoLlu
Hacii3d6dHWCXTPjbQpy+9Cj/dx0pTIcC2ZCa/zK2D87rDhjRjQKNy1uIboW12ITEsXmDrUlHmrX
AK0CmbJD9Z0k7xW8TXEDY9ev5zn8bifVSzSGAfmK0ovT6oBx0yWasEj3+uxyMUDduIRaCENvOsS9
0WxEVdyYZa2uY7VTtp0Vzoc57I0DPaK9xn981JS63cedcH01isQ2zQqxlroe7CxNOqvYDCHl4Xta
BaW8mRvaWwJJlh7UnFeKaZL66JQrPXTPJHQsXR1/HaVXwEQPleHnsaZdt63u+NDwq30dtYdeT17r
yh5XedYVK3hSCG3C6hCF9dx5geQNQ7rR4BJP1U1gabsEut2kIEwaTblFrwSXcO6rN/KtkhPkiHcl
RapUA19Z5exqfXSahE+Hdyxnb3IbC1o6jltdZo96MnQuCbcdICQ9u5a1dil151GFq846n10IuD76
MuistbkOKl7HWhAWEF7DU9uaaCyK/Nga2rtplv2mtYY7sEDJqkUaRQeGkiPP1Ws7dHeAI7fSMK+S
EXPFoG4jrSeLN4O2ii+YhVGymcP4Op/h3lldvnHJ9UZiP53MiWswVR4cA3b9PIqjFfR8pQ9ec735
YgwaJCiq3dEukaBOD7VLgzYGFXa4Ch0qPKgpPxNjUrYeq2nARfhSPCTEpDqDbblyPyaXdh6nV9rH
PLNfRpt0qYZvL+POcBl8/tuIfTRi2n+1sbKDRoL1rfvzcbx834/jGFW4aqmLSOADzkZD9WOUh8oc
2SU9mMrOZsFK/HYcCxo0EBU8x8aiN9A+4ZMFo0GsX4J5nsXaaMm3+gdtGKuin/YxZD4t+nFaMAaG
rIuWw/qT4KDrkdEQxTFcevUQsn6Zbst2++mGuvxqhfjs7SJW8acX4bdgkmkzPAASgQWX3/fnF9Go
5JIkbauLMbiJCsvTbNE8RoZeGJdIhRfg16AM05u5jC3nvCTDPDehrac3DEQmL1LzUWc2X3ktguc6
AjweZOSGxus5poTpZ4MxSnYJaI2yUiEwxkUfVN51ahWupkhbz7V9O8btDmgxs6acXIO403xT1AcA
5deKk37JpvRNQcHXV9UeJdPzhGjRm+PoOqSydPSMIFMMGtrYfG/6BXoWD35Wgz+LayIEFMTaK8D2
u1qiDOjt5AEAQW206H6K59BS9wDlWahoFWO34j0jVgodPh3XlL8HFfANJ6+4DNQR3WHbbFiAX9Ec
LuJ8NifNAHWpstUvY1scDKHkviYKut8QwKX+0IzoufW4e0rzqaUKHb62ljhMoik2dVKdimgcfLe2
DTZNgekFZXPXxGj5bAFyIpyME6QzUh1b4yYbEAHMsn9WEoONCaR9TBHo/fTuO056pEyU9pyW5aUo
xdEeGrGuRB2vsrROdhYZUisY+BzbSV9goNNZnFMWQsuenzQCfAzezhUkv1sTmg9mXgixOUJ/10lf
yLEmapvrwmWtd866gTpSSQ9wdOGGaLVYaU54FXZfjaTcuJSfcT7onhjr1nNpcYMZdWxQA2kqQzKK
HTxknbS3s21+rWLkp8NEqrMtvjqg/X0nib/D6ZReyHFJ0Lh7H9bWdxEP3oI7QwI/eFqb7CL0+yhL
Ha9k6Mt84IuWJHgpRMeyLS32WUzQiZDdJnZIhOkNdlqi7Ya1IB/dA7906V3lQYY9UsKsY68eNWu4
d3cM/bDMkUzuFYEBagvFlwzt9Vzy/rlOcqez8YcrjurPlU+pOiMZnazvsJReTS39mJQbACe4qGAi
pacizxovpC3wOFceQlIJCmFyr6bGdZjZNr6ACGLYOL5KYqRxldX9GuoojkR7fkmt4N6SCPokUxCB
iHkjG/UhDbOHNi501MMLUDzsTrmtfO8U5wUlqsAfGXm2obXAKj4gojayJGY0xpTuK52nf7Ed1sGu
4q/hYv+u781wmEkaT3nK3Sx9SFXiIcx5TC6WMdzXtb5T5uo9B71BXZOtsrL6xjKBOGl6wXXfOfEm
HRAVMZF+EqJDBhhkXms9Fu56ZOY5JVf54ohXlNumT1xIgUlWozXMUejIwTkqNiQzMo3I88ygNs08
v6EBtqw0TmiOYOw1+LMRexKerbLnrM5taT9Hjvkeq2O94rirocRqm5yeSEbTEfr9mzL2x6GLD7nZ
v4Q9cyLOnNum0NaAdW5LzdgPmnKLKBOvfvjIMOildUwWb+rRHcIFkHIhe+Y0t91m7lOCL6ZvvSSw
J7Ix0bRdukZr6KU1K++2oTt1zE1TybONwqOpoRwb8+xTNA4UjCxKEkdhrKRcT13zmMduug709p06
dqPX45PSvps9T6K07I0hEDkz4B1ws4AbRFtDSwdKWmUc/2iHctzWdaN7SYhfxnSqrjqnhvGcl0K5
I0FsbcuCnKMsWTr6tBTVRNE1G9tuKhvPyZhgOEb+mNbtBkTQ8zBkj22tvKh5Y9zg350vXHj1psnq
t1rX9lFjfBsD57qecS5CnV5krjDZUqKDGPEB90sw6eRkLN/TJ0+nMI/u4jD8kgC89oa0z47NPNkI
0jrknRThnuiil0LnXRyi+zguE7iZ4Edl+wy+er5jrJhvApKK4QHU5LbH3D2kvXAGgD2A2tVXZF93
jnJPPvrkTxNwybABWcKnvGXj0fbAfe18x6fZ8eus84Ul5U5q3bAFKkzQVV5OYJNVUG0ZqrewS2M+
7BT1A8v9XZtKkmm621ZEjDu0bYLBeFUqAbwcA+qSpd2zjXputPEuNBtr74r+uXQRvrP9CP6H3fUP
Xsjl0nVcBrzcuDqixqWh+3yzW1lf6Y5e95fSwfSlXSfOvcVPbaJeSMTTf7/if64ilgse3zq5ekhO
cJdoNorLz6/VtmAil9nGBTJhkD7W0yZSHv//XmL5ET4VKogas2zos+FS8cEE3LSK5Kuo/od/9C9/
D7anJPdY1FhL1fX5RdoIcQRd4HAxmvu6vBoVcDK/1srEhITv5V9UQ39+W/hTfXqJP3S/XU+KjybG
4SKcu7zezDlSy+G6sN+S6X+80jI//2RM/fVN+fRKy0/y6S+WAWXPrY5fpgaTpxVMb/RDn58GuZY5
KPD/MB7+9hdbfvA/vhwJjyR7qMz6WVv//HJsT8e56bQBRfWz1hHhZ92H0XHKnz+eg39tqypV8d8P
fgi+fZPvzVv752Zj+cYfzQbNAUwcPFy8Dfzj8+xH/cV1TURciANg3P288+F4YONjoRlYVkY/7XzQ
kNJqwOBZzK4Ma/5Bs0Fq7k8PCeYvB6E0+gOLXSI7JvsP8q8idHDJSKe8VtUs3CE03kYhOlxkuZRq
cvKGXm+vxl4vt4bKdQN9/FIkMKWNIv/SwAogY6HdwZYy167RTF44WAanWVR7OI9mtpSD7kec7RSr
1uwjW80vdeg+RSYdMkokwxvV+UjC2VVjip1TuviJlGhbT9VT4IQlUF/nNDcTvJUylTtA74cQ2DwD
ZvMwO/GSfW6fUEXAvEbG08XOjTugbSiaGOJe88ZHA32rGT7K3KyYogI0JY5tqezmk1XYT2NAEhvK
vWc3K5+sUR7dlKm8nd0rZn7qkCh7hG49FA0jc0UjPDEYjvYsbosi2Wih8qLHoxfCi+hUUGxtU11V
dvnMVOUMD5PNlTlu5ch6mIfirctAZhVjhiLU7taxNUfUg1nmG81okS5YT2vHKRAmSDnB42SIj3aa
MEdjV0ZMrKG1nYcFZBHOg7blNtskVg2EjnW1mYILUPT5YgTWV72r7tN+2gwOLhIjLC6jsDZTlO9j
nSl7YLcXq7cfIoIAaBemZ6IIoM8MZsUYYmFzFgA/jXhqUa7b266Zb5qxsDdalB1GLXuP5mUJ0ekP
VtSwosj0wEMhe51IWz9ngb0bnfCuPotob0H+Uyn7rIlrHgDFJrYl92lNyFY3s2wxOrlteuc5shBI
9TVFLkkfWxBNxSrNy6+pbZV+0gHK0WttkzlEaKm4BbtpF9MFMupJvjSN8U5j+47dMNyFtTiHxI+N
sqa7BDOwTqZMPDIRI2lxcijiCAspi5pa0dpnpkamX7RpnBBsHHGP62mk3NJDa9o6H0ifwuy79SCV
m7gavrlzOjRc0EQG0RRv51q0Kxsqn1BqPM1w+lxrYb/piBEKx3Z8IZydvqD9ymZ8I4jwHj2cj8Jt
rS7xRDy6PEfuU4m+gfE8kEDU3bD/3XBcp3Y/8SCQwKotWEE07XSoZnbrsie1YBkvpN994VrsiFoN
SQt4QmzJfC5sdG0OVe/GWDCGCDzVjbKgDVUSzY6TjiYE6qGx4A87OIjOAkQciZfcV+j9VxGXkafM
0OwE/L1Qna/Lkk9KssAVKcQvAbTFKFdVv1oAjFbCH7CwXjvIjG15EwvBJhFoo+PkwX60yvMYoOCU
gB1dvfwm2gXODPIxF3m1tlPQ2sqopH61kCEHk+pa1GboR7OyBdyXzK/6gpJsrpJkD62FlHYQGXXA
YyDz4G1aGJT6VJ+ChUpZgKccK7EDUcyAEnClEqbvac9HBmA5zzZwy9aF57XQLrGkoyXMsntiar+7
CxIzHHnujIWSWYKWFdTWsF1A8MmwLq4UfTRPGnxNBXj7eZTEPjoLfNN258AfFyBnHwTAyhvmBNEg
T7JJHRQazBMyN76LGp5mU4TavslgGYuAd5wwSCKVp/mmDCoLbjSa8TaXs1dBCjVQN2Jf5IMVzfBG
FAlQlBSlYCMn5ttl3YkdWkw8p9EhhbaP5rC+yYVxzCCUEm9yHywAPE2XB8i96GbmGRlJWzZNgrJW
a57TjxW19bGubllc97+usD/W2fGy2a6XHbfzse7+tyb4mD8uu5G/rwn89+z/ndHOvv9FTcA3/qgJ
jF9MhoswKyg8LSLcfhpA6oz9qNp/Y+L9GEBiFVdVKns4UoKyzuC7/qMDYTbJjsgGfmdZBnJydIv/
oCb4ueQ2VcE8EOe5IK7GNcSvs8NPVWoX9EmbzYXObGncqWl8ZYepZ8hp/ekv8xdlN63NT6XHR49C
FAZgDgMAoE4c8s/1KSHIKXbYdLiYbCP3MMUdsTbn/pCjG+FQDeHDDzYmv668dqf+qk6rB1tviAht
u9FD7dehsNLSo2xM10eMSx74xIZBMZkyBkPzPLQVzAonwvqz+LijNrureEFPr7JLqQK41lArrJxa
r32H6EzPwIKMR9g51vnoMRWFMEpKpe+aFt7ntGAjIje6MDv2VojG23RkDiieFDAfNI3uil/zORJZ
6XHp33Ho3Cr5eFYU89zFquRCxBdpOe6+ceV5CHKwRq6GkNHJyF+S0tcXa0kvuxuyOTeD6J9cp3lH
Hfca5tNLs1y9KRIOOFPxxWyCo8U2YYNqaGdBn9i2UcM71DQPpRXuYkeEXhZFRySnX4ohSjcSeIdv
SQh8WTlWvgINZ5Vx+G20bn7VctbWs0iuhYPCeyKqQWF5VFvpK2Coh6YNT+WY96tSm27tut9iS0Be
GSo43glMHoSBcoLMczoZ806ZQG/lXe14tvvqdtx6gKYIvWCt14t0xQPhO8zkef+SLffddweVygpR
wkmRPcaZAsM9U2dPA6ekIxEZJ/xuA3vtTaplF0JSkw3o+u2ci1MYku3RaWLrEubFOcw6RrFM6Ve1
+4qXYQea4JZ4isk35vYxtgDWhgRmrowuu2uHfg8BTCIfUr+q2QSYfJgeszg2t6MxX+sjxNk2SiTZ
ns03LdO/6UOGrWzUdmXm7kFSa3jMhi1kgpuc9HNWQtaVbcwFIRbF1zmpniMbrEpulfe4uxJf1Ha6
G3pjix2f5VCwwXhMdCePGBskMURrbYzqtyIhvGkzO0o3eaY1AsJSURCg79SbkOTUgeAAUjE2mjMs
LuNmPGSZCYJ1Ihoi4K4RxrdBdfexqW3kTOmxmtJKPqamsXihBw0uvhkvpq1Ri/000fcGd6cGVqBb
CiunfsOjeKulyjvTi3RV4zsqeRpxv0uMHW0HcnfwyyHV9kpu4uMf5JXTYPlbBjpmTDKUbGWMszsc
XqzEbtdjWJ3CWA28ls0umOJVJNorcht82bW7YeieiYLnWnQTTyYqkcLlKbX4yBpFesEpdcwUZT9n
YAuIIonW8zgBmJCoKQYC3pMBWcbYa7eEVzM/7N5T3IvgnfCCW9Xz0KzhYu8jRMsoM3aTZb+NifrK
gg99akZy7ZS9ZuJODi2u/P5QgUnJFNxzzNz1DUUOKW8dF7GxHgyxk7qxIXwFF95cya1hJ91GhZsD
X1O8FkJDdVsO5Iw1DTjKattrxTUxZi/oRuADTOKx61TnVCmEpd8vPovQEU2wKz9ms//jGF2E3T93
+VwXAgE5DSQ+2j/ui9q2NUQwWdNlACm2EtvgMN6Vp33SrZS34gkt8p4h3So44rDr/WRr/I+Zxp+H
DLy8a3PvAOkwcaT/fIg3QW9Kxerni7T/j73zaI7cSLfoX5l4eygSJmEWb1OF8mTRk01uEHQN700C
+PXvgDOSWu5NaK8JzYwiukkWy2R+5t5zEbQdPIEeZ3zRyv/GI/yzn2MI5kC6IWyLFdxvf47XcWeh
oJ2v9fgiwoyTZZ8Eham+Xf3/z+dvb7/lUuI/yB/ZAgrGZovx6scZTU1VL3s9Ete2PDU2LFLqvP82
nLP+7DX78Zf53Q/pIyFaA0rp9bBtH1ERb4a9+HB9F5r5JaqdcHXbbFDjbY39w9n1s9V5uIy3j+0m
2NwkR7Xa4xK66Hz+ol9u+e/m8f9/Dow/jsQMwzIETBpp4rD+4uX9UAJkPWKOYhL6NfiVc3AjNuJS
fwqPZNlR//rT6vis78b1ud6qvZTr/IR59wYuxRay7PrrofwzXJK8wf+6kHzu317/WEMuX/NLDQlU
iBucIo3kzcVX+EMNqeM6Yb/Ny2f+B7lcUJRG//s/+OZh8FkAf8QvCuSftcSAmokY56PM6HhJFf5b
wWTsxH9zLDFXws2PG8YC7MjJhPbpt5+jrMOaO5ajuOqS8huBPnJnp6Z2giaybBr1CmEMRt+e2/C8
+Be2ZRnrrD6t4zL5X6mCzU+M4+aiaWYMfC4O91bZuwEifeaO1WUza6gJBckn7jtXmfCNXKHi6QN/
ttXBC1ymDhV9K/GRfUumSOER6uMo60EVzd6Ko+Ie8mRPZHD1bjOrKPvqodGtao0AEvxoWL9nk5f6
ZWuRRKTUfsQ7sg5ZDxY3wnR3emJZ15ppnwJbYYFWXHa50gJf0ylPs6xGatK9On34HuSu2hpTIVjv
VvXBLdiO1aV2yzwou/bIVCfRDGFeZjYSIwCrwiC2rTWZPRDcg4ngKMAgjWd+tLF9A2T67HaUiQgj
v8WGed+VHtVcYnxS1o4bCM8PYMA2MZKi3oY2mc/6Pqi9DzJPoV9H0T71xptCJJctZpi8CE/J7N3r
CThKOUOAbwxxXzkJxjpehC6qunUGcgYYgHyd+nZcA0n5BmwFhmQF26Ym01JZ4pqcHN2PgvgmhsG/
0nLlquM0UTsjavyOAfMo7EWUG58GIDsHM2lve5tKbJTUbdiP2rUDLC4hAGxFWLPvzFTVtaZhOSfD
GHqK12VtylywyYHFQDbyDBhHWcFUZ7CTA+YWD9obhXJNZr234H20PhV4TuW7t3CT6sn4nqHYIfrl
i6qUGN45ixA0FUWDtDNl/tDJPN0W5DQeQ4IUIlwjawGsSS3UJpheOCGn8jshVoCEdOJYG+NclVXB
pnmG+hTD3tQXEpQutV2ysKEGIFE2sChAQv266QkKMyJ8f0u4Qxvy5GaUeuRpIZwDO6UH5RvobaoH
0zpahXajL4CqaNr0AKv6mqV3AbF1LbrGPMCuI6A5P46d3FjgriY9vbJMUg3Y36GtBoklQGPJnGks
kTcla3vnAd+H5GEbF0EFUUtzscIS6MQYQYjbHOwWTcmuTpPbmC2v3WfPSjRvaPRKSH1660+gu9wm
7f3GBs1agvWSoMsZb2hHuErWzl7YX/1CAStC50LU+jv8U/hggMIq08BVqVfbqp1N9Odz7U/jcEgD
7LdDIRhmqreI5xrNCJ1ZYcc1/V71DRfkpVe2G9stt0lkksJkBO+dUFvQTzkUX1WvqbdLRGb9Cbhe
Tbhdhp9gkh+dkpeqJjMhd5OLOmCNGlc54jCwqUnUvrhJfcrz4kFP50dda294fHD3LAw2yrtkyskg
1uj9cB6QZ+jppVsz/+pncdt65svUedVVaC24h1Ebj1o6aQeI3Q0ojfhiSOs7q9c+oyq9de1CrsEJ
5CDPzaA9BA7fZW4iuc8da9MENeWXqWXEvxk3iTAKFraWTYxsi5ivdNJ1XvImnlywPvR9JA6i9GMR
mcHsQTQwhrgEDCFWgRTv7qwn/9yz/1HvMnX463v27rXoXv/FB3H+421r8ZU/3LbSBbrNLsbDUPY7
BS9aXO7hX42hP9+2zk9M+794tJRQKIC5o3++be2fKDUla2BkvBaV5t/a4hjyt1XrssURUEflMv6h
ZOWh/Pa2JfSa1h8lLNnVDPH1yaZCNDIQHGPxFDemuzES7prWYE6QEV6M6LE71FLHXSlyyFK5Oqol
vTBHVul3ot+HjFEXCDkLCtI/yqKHQQaMLXGSNxXQYOqg+1dDwVgCSnixcXLpMjeYvGtU5w+ycRtu
TUJPUBRcTCkeu7ArmUg/BYl5n+dxcUU4CvnC2KzR4ToA5uhMj3kWPQVWmG5Sz7txUxaWrJ0+kar1
29DQ1D2H/d62nVNSwT4RIyFB7XiLIP5qLKvskGn1eViyQsFLSdHSXMrxIneau6iVzaqZSjhizsyw
wgSZ4UXrIGzfJ5LIVmUYDmDMJoDmcbALYz7Q5AFw83I6cLy3TRMfSIx70XWG86h2zsyJAYvM4SEY
GXX0Y76PqF38Me0jP2tSBkbzbQAUbi81naemj4dTFnOh5zI8e1V8RGcFJyuD/N1pH0mSeau4rp1V
yBJEzSpm6M3Fpw1odRhvx4uyZdtn7jX7HKQnCPszhMirrjNvubrRBn4Ybvnd4dv1E09ZXCN5i/T2
NaK0WrcBuhDL6ciYMeEaVom+QumMpGbIaYYtQlindtm63bJZKa/rXL+sx2TccJZXmxg5q4+M0NjN
hnFvzV97M49RmXyoisk71gOWJ4c4SLsOzqKtwLMH6Rba16ktO4jupd9l4AAVyZQj0UO6jJ9wxli7
YsRHESwKMC9j2x47l1M9fTPKfGsVCAjQlx9yc7jFnsKOfFaf/ORxM5oZeUW1flWAX1rV+nSdjC4+
zTS69HotuBjM5k1vAmdFSWUcYhLiXiItdza103tyMxVE14h5K1NJAl8yVOdw0JxjFZbtDSFAwBMc
EjU8niAAq9J2P9yKMmYgaAOsE9ofwDtMbiZpKt8MmmePuQ3xHLDa04of0VKR9em+UUj+eslT7HKl
a3k0P5hVCQrWwDRkVs6dW9unTp8+F/yOr6fyNoNXc7LnYTPnA8Hiyte9pNjAjiK5p40+krnyDl3p
fIzOQgokANyXg9ciY2pvOqR/fBAvyUB0fadR1bF0mjXgQNjpqbXB5YkQL3R7tozs88qRBVyhwgnE
fvA9q4LrrJlQ1eSduBqivlzbPbgewgZPNZr6zSzsGqYM61qSB52gOKrEIDoxMJ4TljfsM7uOxF9N
XBKdKD8hLab3pWAZxhqZdYmeRchn/ukCv9YJ5n+5nd6b1xx62p/4S5av/OF2op9zHQyiDp6RZUfx
i6BZ/8llAS5//hO+6ufbiXQ9k0kKcmP+j/H7D7cT/pIv5hlXGlHHf7MXNKxFbPTriOqrF1zcJfj9
hcVy4vfjBESZRTuXIyd15oq11cfV1hyiZLPoE3Nn7LYY0wFpjtIanlWSn/B6eJSXLuMscnbXwUT0
VbCgTcKFceLKfJVPBVAnEWsn0c2vckGieLBRlF23GychjKLKgjuz1+zLYmDpPg2I3yo2xGda6U0S
Ro8YMTdKFPE29twjjNIj3r/v6Tg9qig/OlZ6VWcNa3Fjj3EKxHOCiRMUasW5DXZ7nszMHwU+v9AD
Gm9J+zNxaC1t7SUdtE81kMfgLCmy5G2PuLHzD2JUgYEIjZHrwFnYwAFTC/8ba+rbFFnLpWEvJzuZ
OUPPmdpP5WOUlzeGTWVe0qs4E8Lmuu8GpHG7PmTAeoB7dVu39iU0nc8ZTeFUXNt6xRHVpGc2xVvk
nU95zSFJER0V8n6Aj4W75fsUAqeLM+PGbTAGutS5aF/bh1LD9jL15ML2WZRtx47E3dojD62xp7s8
7KSPCBrDpSvIUKaJ2oiCaPu5RAuC1QQ2SZB4G61bUL+EuqUMfbGTmjsAA8mtZJDujwYW4WRCrKnH
zOplqZmX6CnjlVMqNBnMBI6z1nCjjRn+nlLs+rE9MPGMGdV3MGWXALD+KwusgAkcXhrtnD8lrdTo
n3MwDOuMrepo2qygx5h8Qul+R9q9H6PhKuqWBUneds5lF3St99LIOf7Is5L1kqdnHsFierCVLaI8
R6DqaGcCmEL69m1lYS7NZyN+cJX72HTxyJTBe0kh7K4lIQtXykoMX6v6hjbfvfcKdTBzuauYi+6y
Wc+guesPWg8dtxfK3IzBXDDEgAlBn1CjLzWKq7bwMNHwXJrtcDmSJnvPO4AtieWUSxzweF1M9ERu
ryoU0sNby3z05KQGsdlJ9Ak4b2R9M+Ex8vSzBgejW4mePkiTOmuYrt83fdDsjcbO7mq7xnxTOsV9
akydX0HPBBpK3JrbAcCztdWMI2sVopwcbUAffaBhP1i8Ul05XeHgCdYaepV1vjiqZGwQ1sSCczvF
gX3sJvGKIWZdR+oRgTJC6MWbBVY38UPKKQC4lkb8tade0kSpVcG224/drgAJV6bvqSnREPUKplPt
HlMVwR1dvGFNtwTENjOOM3vxjqnFRRaFpnvpDhOgZCBE3oIjchYwUbIgisYFVtQt2CLNBWDUguFf
MRyZ/727/GcquYzV/7pb2mT/8suGsNc/NkvLF/58HRGS5OKswWkP0uB3xDP9J5KQBL2QQWAD6+9f
ryPvJzbbFvtww1qW2z82SzghwRIAPSO+E7UU99vfWG9ztf3+OnL5PuxLhEXjBoCNB/GbEX8YjJTm
Q3slrPJRLWmPXA++xkJ+5SRtc63NSyYkK7xv0mIM5smsXuG6dzCGzJwN2lBg44NTns5sjsiZf0Lb
4vgNFMZ1pRsEOlugvfMY+zOrWvwcVl9u6sAb1jVgafQt812/5FqaoxtBP3MePHT37LqKrY2deuUQ
h0nvGO4bAjI5b54CBUhwSKq7poyIGdVib6+L8L0gXnM0xQlu9RmbOQOLJYFTNIlOpYpGvCKeM2PA
My15nTgVT8iingNuus6u2lPEIFUQO77FdIFvQqG8t0f5ZkNW23dLJmgzEuDgleOnXdqfAI4Sv10S
RNt6uPRG81thlLBdek50XK2vxhDdREv+KA/z3SvIsKfncs1hsX3bZfk4AnfcsBCByED8miRrDTrx
Niyh+AZIeGaZf5IrsRmXXLYyq3YWSW1UtbfKTsM9mDQX+qUMN6lCeZ/Emr3ptfHKiZS5ikPjMSYF
blji4CxDL8FxY4osKsLicGbuMigJpt295EucXG0SLNfDnZuXqDlXTI8uMAL3emxhfVXdOMNeZlHn
XURa9X3uo2UmOySbNuktmtWllZqzcZfHCA/rOPEOVT1FN2ZqPHCSkg26oIcMN1rNYWo+z8JZVQj9
vf6+t7PwDGGU+w09vgdNPN0jOt+oRNzqCK5YfboIyFDeUSLEj4siD6R2767MxeVqhg4Nhl2N3Jgd
Sz2tvA6TgBMRvI9hi3tHg9WjEhJ1e+QamX20+oKnGP5dkIxPlYw/HDO/4CxnpKzX9Uo1Hf2O1r9a
eYvuyjKfNSN7YelPFmHo7CbPgqATJXtDoOdz6AHHft5qhskgfOa0L1J/TBxSfdMLO3Au9Z4WFSDD
XT4X3wWImg30JpvjeoJOnTJ+HLTkXbe1b9KAkh2Ntxlsg2nQ7pF5vnQs8ZAueKu610712JyFGTyM
RXKaVM6rFRiPYQ6hNGqC+2B0TiAIsBAYITFQFdv01PXOhWE9B456QF87r7IwSwDkMF52YvHWWt6t
apJzWHE1B7AaXGe4UrpFCBm/S87Iumn1g+3aa4AoxxCXbW+rU6XJt3DqHhcRRVhIyPvyKornvdnk
q0owp0zb6ZvsXXeXhFq+SmOYsxxz5C7WGhDCBQ8ejAPQwLj51rT50fSGy9Q0DpGYH/sClD15I+a6
NtWhgg605g0L1F/LbiHfv8Gh8vZOmjXYEtydAYdgA8va3QQd9z9oRqBGHkRbC0VoUuXJoXCq9diS
VWvgJVpOXE4pcBqpNVyXPfN1o+7Eth+mm1BMWMBAvAqeAs6kG3OyL5Pee6fo5L3l2A8QxS5Nq6ay
6yG1kyMCtm854ppoxn0k7gyv2GYOlbCxGF5bYhZwrmf7HCGjnnUIU/POph4Zn/o5vNOF9ebkUHZD
w73ERcVUJdS0LaqiW1hZjIbCVF9PhvNmxE660YuMgaldEX5Fx5/HhoWlZtqm0MCbbg7uknpO1nGj
3xfxUJCr6cTvVaSd7XIYNmXLGRHHT4oar6HWYwz1fR5RD3ZodcHsC2IPlsow/qoSmbTmT/lX7Tgb
4bTq7AH4iC5P0m3uvSV8tlliaOe5fIFd4W0qazBXHVm1AcyNlTO0b3an1eu5b66tODtH5Nua5NyO
5N3qS/CtWTTHbDY2aWgxjenkDTm3l/jPIEcusbkJQwiXHF2B+XLVLNG6UqEsRqd5b5K6i+H9mJHC
mwwsY1K6PR7N/M1bknrr6TGX6qZSyTXvB54EMn3zVD/PEnUgWKdsNWCWR67dI6vo7goSgXUb6hQJ
wZYYHwoDWIglr23aqMpjo+XyL+MSLuxkNmKRJXAYRI4BF4oQ4kIYHV4u1jtxtS/IKW6WwGInbzl2
bCI9lzBjucQak21MwHGVHOYl8lhL1aH4CkFe4pAJ9TAOoPhjhjyEJZdLbHIqGuAbGDlX4Yh4aQlX
/mdK8G/RIRXKX1dlW/j9f0agWPBNv5Rk7k9shLGAUJSRQmlRrf0yIcCFADWQqutn8/IvEwLnJ8bW
gNSxqiMq/KrWfp5fS9IusR84DBb+vS/+OyWZs/gZfjsh8AwqePzVS6YljMXfWaPSPNM9wBDOGcr0
MezqobjslDHZa6r6qloCofp55yrisPIoD8fH0osI0S29goSHLomeR7O9y6N68qO2SNeq63fgO33U
QeilRGEwM8ts7HrJGwbNmA+qjDeThn2ymOWZEB5WfZn2XEIwJHLmSfWlnt50ZL7cEQey9xQ9vBOw
2OWTHDJzOKcMI9SqHmriTbTweaq66DoIoti+jrLJuZaFiwTMgkRurlirdaUvg1wU97ajmduAc0pt
2lEPuqtaa6P4seciHkicV0+p4UUs0NJyz9AhmbiCm0uVWEfVy1sZWhOZCcWjmLP73iI1ooyqd2Mx
QdhRD1l2jtdNl3CemW9RkcyrRrPOdm/gaxgfe+yKa5OCUBs0X8s5AsJF+29Vle67k2IzULCiwhj7
hNTcRb2WosaWd6mrrpKkAuKuxR+G59znvfUprCTetDlPinS7G8cE1BAyWdkrvj8wiip9mcyQe1LF
ewEWw68XAWCeufd1phvbsmAZXZi4d8fE2EfEEBfD0PhE6mFLxpAn88hZFQ2T+pa1NWuLOuPgmI5m
ZdwE0JPWsxnhjLCMPaxJHXtBqtbeNBoHUIhIF3vxIQi5csk6W2uBDNDVt7u88F7DqARO4kCRgC8f
u6SHmLN35wRs27yo3Y6B9iG9eZuJkYgu5sMNOSvkB/lVM9v7vFj4sEH1HaIICWgxCMVey99V5I1g
aotvvKU7QOCDs7eX0p+31w3C/g5tQnnuZKJRNzJy9RB3MuRfhZF+G1QaShpu1JUYG7kmEYhNOJdu
hBexx2ZJ69wdO17Bru23so7iHcOxmXukLjdzYR3yAdBmLZ/0tjuD1bhPOsBqsWgf8zC6jawoRrHf
7/TQ1sBvsdgZouZ2coJ7AlBu5hrPq9JpmeGbkBQWxxMTqeC6D+b9lAUajGPtvam1yGeom+4mySU1
6162Vj0841C2MI+ht+jWNB/Lik3lVJK16uLXrvrCXOdD1q1qS11gTfnIshgUiku4dRtf2kkFClk4
p6kk+ER4WUaQdU0SM8QnS09eG1Gp7eR1V15jfRu0SKz5qA+MjHKccr35PZ/6eZVW5W0/V4DYHOD+
QK4cZ4QHU5Sw2dLhwVBzsdcs3p3BUtK1WfyZTcbM5eh8k0reGSgrD0OJRTRrjANtoumjobmIBgKU
bIt9jsgta6vq5CoObd/W0ts8G85Q7jSkqI5OoZ1u4twDXFnUWzujn1CVQi/bjNOqLux7UCEDXhHx
PTCsF2Fm7+zqDuzCuOcZoWEUNj6tVntsE8db53n+mJPLujG8/m6aOh2SV/5cTtZJauUkB+rqCC2G
Y432jZm4lUPKAmbbKarfTIXH3pBkQ5Mou+plfWlrY7eZU7qrYX5rTOO5dj1z7wkY+pXnXM/9UPgu
2E3faghAsiH/r7xoeg8mNtXCgeFTdGAFKpHtJ1HCcHDShLPWfKls667LO3etIhfLTB8ov+nZEiYV
KogiFucB28wGrennME8ezFQqy8QY/CEonT05g3ifNYtNdl8TYcAIbEXO0TuC3xx3P8HgIlDyHI+A
Moe2HtkuQVszjfpWFRQwk4tZSmdBksbFyOsUb7sQh3AMJhQOZ1RhileHKYfSUoxEZ2gWgbfLrmQ0
ebdWTfJuOwVdWJDMG1kE29Ayp71dNPWhrKxtirPKj5CfbF2Xxo/zcN4VSf3SYPcucKSHKtiVlOw3
LOFsyLCxt5pahcyky70tFFviG+QU3IDzqrZspg6EjV4k+OW3XZ64O/rk0CeSSsDVmaYjgYwfaS2S
Lboa82jAIlxLdikA+8NiHxXF/DCrnNdGTdpWYnxbaRT3q9BArCG7gZEiARa67pKXIIdTmHnHwJtP
WjxDKNXpb4IUs1Ye+ISi4bZ27Iu5pdOLemxm1P/XVR/dFwZyaAze2bYCkLjqI61huNe92zUw9xyT
wm50kdVPOrR1dByseLPouotxASDa8NMyHnZVNZ/IPbkIMtMnu+F6AOC4MZMa8RUzilXsNGdPJu8u
zsCsDRhION5C8tEkRCF5LE132sDERgwLAWAlhHrU+/S1TDW2UfFdGmqsiJltbthUo9exqs+MWIkw
F9a2My1CUWKLb0nClq8y8VzFdF9DH58Dr8e1povBV3UTrMsgPRUuISvJmISPdZT5GF2eoTvRuvDR
dbL8e5N3z9Jk0Rd15+pLo93l7wEAzo3uIZgmk/kRSzAOhBgFtqFpN7NASYaj/FKv2B+WZXrKoMWv
Le5UqQ0cYLr+Obrt3umDC5ex/07E05E0EMa6qbZKZPGUT815LJB82FOes4G01rygx7rVTzLLP7TK
/a5G2kebCUpRa/ugTT6xJGzbvux2rVNt2oo/VaX2KBJxMYenPKFX6R1MXOmr1ydvEdhM2HqC7Cbn
QKjc8q5xQxANzXFuFZ1bysuT06knjH7Gmfcz2zzaYsP6NAULfrZDd3ES8pc5wIectKQmW0IsSY/E
nhrvqNxeqMAO8Vhuayod9tD2cZZlvu4Zgdu1uwo89aSbfHMQnwD8k1PK1Gpn5h2IUO8pZIuINKY+
CyfHVFY86iYXnleEOxnpMPJdExFg/NAoRTvaCvz78EUrAkknOnffxOzYa0SkOAlD7dnKdyRT0Zca
ycbWFfoFs8KDlefhljg9Zj8ztgO8qHf5wPbDcAtycag7V24WA8hnD15YzcExo6Oaku8Re+ltqFz0
VMmunHctqj/D3TWANfXxwtXS+ygbMKJYVr4WrtwlbI9Xk0MhY85vJuI+W4Vvrh1fWEYPzTAQES9W
/VqWBuwQQyWSi3hoTnx87sMFq03/9ghaDQ/eIgNrNu7eDGFqkuE3dKkfuGZ1U3yButlN2bjgyHzW
nqKhLAXk4qJtjjgRFCvwWA3usGWRr003E69OIWSs+RZ5n5hEiUf1XS89loopwEiW+oqeczd7IQ19
qW01BAR+kWpqG5O1auVIvIIBkaarz5vCHQg+nkJ9kxnJg9kUd8qyxy0a8+910jxZsSNZvun8pnG3
BYh+iBzrlQz16zH2CFVxFvVB3OVr6q52naYWUQdqEQYyGOE6geQBMRkpJ1car9/y2lGboyEjbyC6
qBvdWmWV5Y+dcx66+MrrnYsltoJ1ePKqe5PfetaFPk9UN2X1xt0CBzSDOVa4wFJiVIu9+ATOVuzm
RGCrHdy9NfTXGI8jijziZ2glVtQ1yreD4qNROaucSMPeCY2cRdqFVWe3Rjpsig6tg8xLBKV5AL0L
88YEjYL8mHbfD3yiE4MfCN1rnVpZy5IBM0kLIob8xF1lUO2iIXtJ63htRVdpRZyEZNs3mgfZsOT0
3OGskSvAiLK7ymXyQQYlQm4dp/UUn8tQnCXyk6wYzpZxZTOq0xDPNY0WHgdRPqUqPHRR/Nw53UPl
lZgX2N65zW60nTu8GjCg8/NUGy9xpe+9VuNkzMMDrI75kPTZCw/wIVpae4dacBN1FYENufZioTx7
yucBPHmdnMYoxdSNHoSAhBk2wYTT1da/VQMbniS9Uap4TSsX9zZ81HzynjNZXsRm9JQrZqD/NPRf
Df2iz/rrhh5R2r/8+DP8kzXL8oW/9PT2T8LVOXTYp3wRyX7t6XU6d4APKM6k97WC+XXNgvWQv04Z
5AAYwDXyq4vQNABOWpAiIAGQuwaQ4O/09EhUf9fTs/7B5uaCtbQsJgVi+fMfTARxgvIyQlV2yUc4
B3MCUp/aglDDdHH4qYrB6TCT1M49UxkjYTITixGIyGFUhBdmnzivaVSsza5eQ1R+SZxM16+V3mIV
Sr6CjtuBzOMccekxNJcg5LojExl0AvHIeisIY/GW1OQ8MAPMs7boNsS6Jvpd7HiZdZrDOWtZVYS2
umxMZrE3BGjuBrvIPgEhxn7JxIH0L8vtk51IXH3r1W483Hb11B0scg1ZWswRkbKBmPqX2XLQRTt1
JE5G7wWnpq4J3iow322i0avXTU0mSC+m+CS7yboIghlaQeIF3mvfFguXtQ7UvAMROnOWRf01ZrrX
aSpenDR8T2yqWgyh+bqy5WfVsSnxSh2ZQF5bH6ojkksg0q5Dpm+zkNsu1foXZYc2YdIC7QS0Hp34
aJUgVu7cJx2Ql+8B6n0fY3vYt2bBaBqG1YVG8u0+1RvnjMtvPMxVVe8sOZTrhk0sfvNiXJhEeNaQ
Uq68IbjkxcVUSF/Qqjags8hPbo/sWAYNgi4p5wNnI5oJ4rFWlhftnBgFbxMCTzMnN1mXLfNSh11C
5XqfrhVpULHnPUOgKzOJ7d0UkNGjtYsVJgBIxnXxzYqswGcBNIAxkbuScRHJzOO6ixoFJwlGLwTN
RQwtR7+RDmxMrTKuRJimd5qS5m1h28VnIqzmmNdx8QQFiDFAXH8ULHhO/5xaX6eWztTur0+tAzKE
P+6Fl6/55cCSP9kWi2HOA/d3Q0gdMZIn2Pv+B3XLWfGzTMmBu0j4o2M7JKUgRvrhwJLkQ0IwdNEU
fZ1Xf8v2DHPldwcWp6FnLo8BKIWJ82lxRf1wYJlRVunh4HTnPLUjDClZ7I9lDp3uBivkTN0Xe1Ew
2xsrGkTEPHsglkLqnaEz30YrotAExkBdOSjq6Yq9Im9D5DVK4u3QR7smQlVmkbnDdsy4c2VZWUzC
mxYkAwKSwCsLaNoI8a6dvveawncIjrVOo5QK8wWg2KR9dWaoHDN7C1Ae1INjgxwQKW7U7JK28i6j
WkSHkLTtxbJiPdQlwYouy4G6L8nRttIEWGGthlO8DGyYHBZnJ0v7W0L11JsopKxY30bhGx+NcZu1
Ir8gkKgEjlcG50ST1pZVXsSES+dj6aLuvdEdIzjQo6hL0PfqrLO58BumZKVi/kn1azSv5Lq266yj
OF5HtFgH8NndvQGBm49rIRGyZ95uiDIFUxDTNluXXUawy607iwzNJ2PErBejRZNLOoDsOmZTtpjO
DVvubYpNHcKuTk3Xtqx3AToSzDkP3b4OBLsFvcKl7XmR8WLO1XwdzcQMrFKjN95Sq5Wnvm7Dw5Qm
7TdTtiYQBYNWtwKFNoMyv+r79J2ntDjUnq3f6W0ssnWCO//SUswBpFNG54n8SD+cZHyWcdvuPC9r
Njhq3PNco6DJ6wLG2UToZmSG0zs1dHbBuqd97PMFYYvQEyFBbFyapp4x14valMlXwJZurO0bEIPa
Nq5le23GaM4oa8sTnfFwatv0SIM549rV3G0tp/G7wpmwd6s8PI4lhqmVTByNGAFbcMm2uNHLiTFb
1/X2RT25RO+EjN4s9uirUTbohWfDC45Zo9mPLKqe0BEYF4aGjpyHH2y1FK81+lg68KYRV9Mc4Twm
rPEQxjRVCMYSAH7VdBs1rvKHVtWbKe7HTTjMwbZF7BD6/5ysXyfrgoL765N1l30WxR+P1uWLfj5a
DWSeko8erDfOyq9NzS/7HeMn6kCLf3QpDYqyX49WdDpk8Xq/aG5+OFo9iBIG34v/wZ2wsKn+huQG
29/vjlaJAvXLomC4nODLt/vN0VpMrWOMvetdGXlDNrXU54pwvyUZ1dSKyNjIiESpF3bYzQ1yRnJU
8yVSdSZb1U68i6YgYAc/z1vK4nlieDQYXbidLItNY2VmSPEacz4Uo1lv+sG7YW3xnTTrGLAkiRO9
sdOImg7bmNl1vRNEULtEUY+Vttfi7E02ZJ87SXkRJuomNRZKQ9f4zP/3GCX3gvUHEH21JgFdYz86
7SBnnA0mYrEhGMks6dgUdvtpycsuNP0tIUCbdAR5aFznW2U5ZGypd/rjS3JtM+DW/G7PHvCebknk
RgTy2Uyuny5Z3YnXTXTH5HfPLMsxrlPWDfq+JuJ7WLK+1ZL6jYWygbtIEjg2RH5bAhj9tpyf2CBd
4gpa0JukiDcptkGDFVFk4X8y+3DbpOBg9QbEaUIMuUscOZolIL8WVgOdqPKcyHKyFJkCl1fjkmWu
5YHc5ku+eSGKg1oSz78iWnQYAL5QC0NxSUavllRCdiH5/7F3XstxI2kWfpV9AUwgYRLA5Za39P4G
QUokvPd4+v2SPeqW2kUo9lZzN2KXKBYLac5/zneW1J8R8p+uMzvZN1CxFrSPfp2y3qU5CUJ3XfiY
bcjNsxq+0owM0V2Ij9bQDoKi9qGdTrFqbvdVh3v/2eY+dMOpUA3vk+p6H2V7mil/z7R8eOL3eWzt
lzmTZ4v9BboPiLv4oEv/dlAt8jUFy82KqHzFwdbIO2SNKAmUKZgqMxg8BOSqizGwnX3auBYKQB9u
I9cl10LpsnfmChEenKTot8T2ij3vS6mvLT0qt6Hverc+/eneMp3EiCWmYDzU25OF49O20lXajcFW
TAoj6+S1cSKX0dG/Jl0Aq9T+/loOP5dD5f375+VQXY9PXdT8z+VbRNnzXxdG9fJvCyNeRLD7GAc9
Bd9k7fnjksyaiUFRJ7rscdwzFLTv25mTg6XHa1y+4HLB/v6SbP3H5QDLuin0/16tf2Jh/MuySJKM
TnEPS6ROmsr4EwGnNtTZQzoBmOCAdNYxssLfJJR/ZEBaUv0df5jvVfrMZSk3ia3AM8D5yJvz/ak2
w2Hklek0XgSJs+d2yfDCIA22cbLxPJqjHFYOy/N2Vk43qTE14flwGZShDhXc6zx5dmrHa/Y5hUDn
rtZc6kk6JNkzyr4+rq2mm4KVXgpnXjMeWRdw90vs31m2ZgIN13+s5m1d0IQ9CPCrdWhVa/hegChk
qTP8lVexgw5cJpm+6qCgbCMtoCMNAGysbfNsmIvbvJ7DD3A/PTp/5OMGchtdW3vpZBmcsSDr6WtR
WhnNn1amm7cY7ZhdldVYXbcj/4qomjezpqbDY/hkluIY0re90AmMLRIPOkZfbXtGJkMnBXA37aIL
+wc7Me8AodzWBNiCvH+QdoZtRlY4cyILoZKIjVWdwpAMchAke2Lf7C6jPA6Qx12dBGgfFIwBRn2h
+xEm+elQ2wwtGOoTD3dUXre6rCMZ7yioO3Wj/kYd9XQMS+g4ls+g103Fe5gS/pw8bz0Vkuu7h0GH
CVa2acfR3uamPx/BJB57X9uOWbJrNaLuVHPVK3oUGbGUFJhG54y779rH2cXUuaSio977dXQT2lVK
twbd7YGW7Ou58BcBXri8GUmbh9ktMIFjaGIq0yZdfpl6KIlTDWiFEMpmLPmoEtdbW9j8yRTnq4xO
vrGszoMFTknE6J8JsgBeFGh9QWzf2taES3S0ul2TU4ST+56xynw8R5Q3nisJUi3w6n1P+GJbpPo7
jb1fBUaubZ3K7Gh6dOEswsSOrkvmOojyauwi6CjEXqwdPBSdbePqXxIt3M+SfIVw7ilc2qahL5mf
1sBvyeiZ4jRn7nWf5xsPu35c++tG0N0jB+A8qYGzpDVWlckbb+fOrtH7R6Ei8SX5cMfzXmbZnwud
MXoEesdO9auZv7QX+Rm6FDFise1K7dVoxLumjXsCESeTilbPeWBTLdz5QOeju7HjYF079n01C0C5
FD+hGHWt2x7R30+2MV0FPoh7E1Y1qTZU1cB4NulrXtWDOOHZohLeuqzC3UQf/TKcO5PQfrVxQu3O
HZt7C9V6DBIsomFwZfUlzX/RBCC6j44YA/ZUARD57MVDqYV30PrutbJYzDm5atX75YyHytMO4wgn
qInlAe1qmwIrxjBJU2Ihur3VWe2NNcQHfr6jDVKHZE28IAQTLdCgIV2TLLzIrDHZjVpm4KPh7NPQ
FlzDcJr8+6z1k5uRO+tiHHH5QsIh3xi14arSkoRETRvQ/ojZsDI4zQw8Fqce2+pFZ82UaqZ176Nr
l1I9YXRpUyLpkYJxK999wyYJQNCWD1pjyHXfyAs/pCPYT8t+0Vpew4fZVL0oAKu5MGHoNOybVtcB
QVVDtQp6xkZCxMe+YFZUJgN4ITDmfdkEG9iNT1LexvzmV1Wn0UGmeP+umcqzz5lnPc5lhEmveLOC
mBMjPmAeOY/fkX3HAZOsfzxRHToFJ86DMzgm/zppi7du9JaxH4O+p3mYKrpbVUtqmuVL0yWw5+Nd
H7cf+J4vU3uONwFo+YU5pM9G3G1C6bwUpOtwL+NzFohp/qBioE3uLmJnOjU+Lh0IX3HKEa8yvsIZ
HrdlZa/ivH/GHL3F5FcCRuhemtbalDW/5gQyhe88irx5sLv80RYwe7wxvh3T6ZR7w66tiDppQ/wY
hNM+GnhEx/Hc+9k2yHw6OVN507bzJaGZ5zG0LwqGmq7VPw6q+mQoKHee+01v4bsdoUHw21jnuIq4
GzekqeSWglQ6scDEY5KJ9kEzIpWaOYEXW97CSOQdTOnGDHLnruqjQ4uFe8klHBJaeKz8goFclF9F
0dzuijh4tCfys6Ze7+zMXLPcgDgbz2bOT4+b6OTiFKmT4CBa+9kre3KOxbKkJYvw244LLuqBT6DM
oHDC1VY2tqUunXF3df6r3iYH3utVNHPU8wwPa/V03VARgW2axlVd29W2fPF1hJMJmROgp285K9e1
5w0JNlpxovBKt8YPXx9sqnPyF7xTTCTn6EymYFv51R3Oopnqt2LXB1ioXC+bTkLQsG4YtFxHL9Iv
jjpVHQvDKNpNnuliUVjWcIUlL1y4dWBSZF0/gT4PNpruXuoKXD7kVXVshBOgjY7Zhsz4lyilp4Ke
Hu1pKCWfF1wA60knVWPiY/06kjZaGWYWYvmcjPNAr+3Hd+ezq98OG9/3jfwYuFBHENVQaUhOISh4
QnLS+v4IQtYVylzuaxdxfC+Th8R7s+zt/+9bqJPWd9rdxKdYJiSWLvSKjIRz2ZWXtBv8+/dQyJof
T1KfRZukV2xhStv8049hGN2UDV4UXOpkCVzncqZ4cbzTtNW/fxvldfzztyHFb1gGWWyL2OSPP0pQ
xJPpJH1w2SH0VEz6G4PnsLpHGlSjVNnUWHZ/FX//hn8wOQ7/81XiJoLg3URf3//mEsELf79E0AoE
WIFmVB3gksPH+5u4wqCNUjeD7m3U69+St9/uEBa1rRCYgDOpflaTUqDf4Q/0DxGCxYwrOfMzJfsp
1JL349PF6A9MCOlfrimSJ4xWox8/L6EB8bDvTONcFxXtXieNSJyqMbH0hjO1Z8UJg3TDTFah9EWH
c4A8h5gm4SzAZdqXbqqnl11B8n3IRm1v27l57hJtWg1Gkx8z38tuCUwMl91olSeKeoovjPGGA7yl
5Ja+kvpoFbGXL9vRefeNyNoVlutvRFzbWPMQL15CqKYePAOMFeTUGQal28QQw2pOc/ut76X40Mxo
vjEaGXWM6fFVkcjCseB6DNQlDScG2Bxbj7NlFDrJVZZ1/p0Re+ENh640vNVjOwmabeqIamZsFcIb
rHH0YQFBZw8MviFRiA5ekLAETTLT4BbTKwei/rqu4SnqC/rFLfYE2esXEjc71a1RFd9rMaEkLL6J
42C8kFVNbsacsoXdT9VL0nXm3uopCgCNYEAtahd1OR3ctqxWIrcxTva1Zx97nFavPvMsOshDEhjc
Qxv1JFPUupyi3DS3Ew03+4m93VuR2L+ZRYOH1OhtQTdN/KWN0/BQSt+cz3ZctXv3cwQ5q2nkVNvY
XJYhH8zhnHEVyrXfFtRfEUfB8/HPK8Lxvf4bqVW95vfFgEeemyqBbAfX0OcA/dtqYOj/gZsrLCby
n3g1VM5vq4FSFFSlF/N6hWRTlMZvVnqLKRYygE5F+m/rwc9IrY562v/YPZjte7SLUDjgGhJWIh/k
H1cDR5SBLsK5vXAAdi0Sckgkn0IDtlZleVund1+prR82VWnDHp1mKv4OWeN2WDedyIifIwOL52Xo
F121R1srM6iRMdd6clGdc1VSlDRc5UN5QUVjdIcni2hJaM4O4Za5uXZhtL6YHF6vp3ziTq/7zMYC
DiX+RAqecZphzeGm/ZwMVDaj5L3laxkxJ9E6afPMCSTGIjWSocHeZXayiZqNAdFGHCDUIAQE85Ro
26jyY8qOlFbgmQFKrNIPxp7CWmoe4y2Apmo9VL7Y9okU60HpDzoYrQc6KzsBBG2S89r8VC0mw5vH
dfqpZpSOr6ETWqWGH7ac5bmbmpByX6OQt5GUqlXdYXWQSisRENja28RMCfNJq0wvWSFCY1s5/H9Y
BcXTPFhevCgJOsWwzsLC2WN+N/X15yfz1yMqOL39yyMa5UHz1w1bvej3Z1Spfha6nRASR7fS7757
Rk1KVaXJJJo5BJvpt0dU0sDO/6hCJfSn9uU/HlGeXvXUOgYjFIfg8k9NQ5wfD3jqEcUTw+6PzwZg
EynkHx9R4ZstgF7HvoB9b9b3hD5SGnrzKYOkF2qAAFxE/OjcuIn5VBZyZGgxpNe6Zi7RK9MMJyxH
9mXr6EgckysbSPdFPVPz2ZPh7OyGB4o7zWEwU+yURVrMyXVBrKUk3kLe72UcjHbJsP1iknm1slQW
BsQOuYQqfCsc9HFDJWYoJoSboWvLkTANfXnwyYyEQwFBm1D4T8xGid4UlKVOq/QzkpMApYcEQU6n
t2tc+pD9nVEuC7BE+dnSJrmbSJVGVuRz7UwHKhGQi/y8L98M4P9BH8tlKzN/Kcqc2xM1cEUW76pY
22HTaPGd5G86bcbMh6nNxAN6HwXaF+MMiuhcwM8YTYe3J51p80r9O1G511mhr72p38bztWjl/dA3
j8gFawv/t3f+9SB+CvEWj8c/P4i3UZPgFej++iyq1317FpHZLVRpMmTuN8zM78+i+R92QgR2yRPx
Gx/tvw+jpWD3MOF1CaBG1dxwGv/vfknbJsWYgqklbHp8ZXR0/oQCT8D0zxumBc+NMh2MHxzu/zKa
FH6H+gIe8mqsdWeT99awsEh+ousNu9Cp4RhOQFw6kjOX/BD6UU8zgZGb6Ooemk3xFGV+c0Z8HxeN
aVa3cSetnT12zcWQ+OXXktaNrZOCCgxTXJfK6BktS08jCJEJbbxqcKNfVnFsPWu6bDfC5+Kw9H1B
DW3u5xdJUHpfXSp9pzG1LwOB5GkQRtnOWOruW3eyn9PeqW8Hw+7ObRM6+6TLi2rhdBpZDRuIjNkB
ZAalaLwXdpc+2Xqa74jwENQo/ea150qzDnU3WrN1DVsn5jiP/F1eD4Co0g6LbxAF5aonNg1ERQM5
8KVogtA6ClIB07hBXCRlNLcQELF5x+EFAPyuIrnd5DX5/BKPVwDg/DaMPXo0ho7OzrnluDBcuB7E
OtD3FqA1bMwohjl9v+WAAmMEKUXSWo74hwdvesMfUxHsGDw8eP74LAdV8qyBSUDQl/kmCKV9mDog
Ne1QzK+mbdsk3Y1IPwaKCx8Fwtv6ZR+88UmKlno+z69+E87vMhqfaq3a5EF00FTOPROSKatdlzta
SAP84qKbtgnC4TEQzCeTAna+3RLIXYxZgSgdDUG0aejAw1Tc0zRCud2j5USg6CD7mwlibakhRoT6
0BOVq9udjBt564Zltm+11rsv9UpeYA/UV3TIAxo1Wru48/HdvDd96r1pzqAdzLQlwDJmdMUJbVW3
PZ1CGty7Ne1rVUv7Y1R+OFrR7GnlzlndXUXMmeVLMAtnNXtUn9JxFJ+c2AL7iofoWfhQZYZZKYbJ
XDzP3agd+fCq9gPueHFQ+0+kYYb7PK7JMBdjdKtFY3kV9jRc5p7ppKvcsnpMz40l1j3XsJYso90w
MJ8GRyXmJfcX492T2DpT8+CMg4k/nbodRh5SvOPbxmtNUG3hlQ15dUxSvw28fh2KDI4R/7wWX6Wv
X97rv67E6lW/r8RUkcFRQfGTtD3+GRMG89myTPAqtnIT/3EswgmCYqcaRzzKDRSp8ttKbGLaY2oJ
rgViOndU+VO9xyiBf16JHccmxGRwUzIM21LSzfcaXj8NvUWJ+nDZjhR7k6R8LHpaJ1TQn47Ky0xU
8ReCFDmAffPObMlQ9abm37rO8EFYcEPC2FrMCiIQYI3QFVaAFvJ0HdX+W62QA2OK26Hv8hs0iID8
YeFvB5ysrkIVhKXz1pnRreznx1DBDAyFNTBKazkWIc5YpySCCvogUxAEExrCnBq3fK/V0KKp1APs
R+RBAbqgi5eoCWc8Bvdsi0Thk+Br3OAcg7uAGHwZ0uhQcE1b9JAZDNSRjQUpZRFb/dVoUDFK+5tc
4JYZCM1ymgkUkKBamlUX72lwI0GPtV8oGISnsBAJrl7Ij6W5NhMfxDbwiEJhJPzSuqs9bMJc7DrT
XHfEahaVQk5E2bSHH2stW4WjoPPpwfa+ZviuawPUAMgKIGRPnU6cuIxx3dHw0S+6CYS27GGd2eP0
ThBh3wtn45gwcTw9fAgEPeqeqy2hWtPVCiojAJkRG84lxpELR6E0ivqhAK3RddORKjcuafNKVYEQ
gdp3fnJtKCZHYMsbl3fIBwkKErfeDGl6UYPxkOA8knGmCYkDAVoQIxXPGe4z4B8xEBCjhAYChpS5
RidYWUCFiNi9owaLVo5Zf4io3UUWj48zeJESzEgJbiRQ3JEGAAmsmZcRIElpdqcRQAkT740OsIQR
15fUi+2FrVgmdRkAO1N8E6OpPhyAJ7oin3CnPvNrOg0gUSpsPb71QUiMClh+HKWz0QgHRNOKbgvO
vjKGTKPDWJljnKF1XryYuIHAkk0c/sdXqyMPw4ectHQAfgsMxEn06VefT6RXm0Rk6eAjxn5gq9sV
sv1KrpLBQGje2ZBggijCku5XV0LHOi2SflSTS1Ji2hSvtBCYzGS6SoJKHuKWN2nOmeDZsFEXVmbc
gARae2VG9FPxaRqFqkEkCC6MDnZP8wx6ml448zmjXqdQlJswANs2t9Y9JV3h9TTU3t5PQNAVTjNu
rZ6Rt94N1rKrRLyeFEcnAqhjxzDETgRkW0rJQj+e1m1GjPC+J1uZIKwRofPweyfWLZ3M5Ii0wHyI
rFghOrpbcE4UGFN9PFKtvPKGfpW6cYx1wdtO5dCAqnTdVTvU6SHCdbVmJi3WBHOfi96O17QZlIs0
5COdD61chCPebyAESzq+VoHrjbduOYIHCMPLMZy/GtgioypwV1w8NvrQrboEb8FMYp8RlhuuEjcg
UedcjBb0+TJazrr7GNn5hsZin2lWuJFtu4+gk9YgCtKxuEqjbkM6r13OWnMsyqZEDW0PFjGHizQZ
7xMLhWEyxbbyrIsmrq/Gqrv3Eg8AFPWFgT+8NdJ6KAq6gHXQvYZfMeUzESereSZ+Fj3YnKEWxUzG
Ar4/5UI9gSnS+MskTE86wQL+1FiOEePCihFYqRFtNyptXZvJxzRX92XsPJRVdE5r640cEynMzCF5
5B1kB5zGqkLK56pBoBYHmuqbedPH+MY18hO/PLJOMcOyNnHus74feELMdmkPbriuGM3KWbMgG3r0
QIK8LVoepolHjw7FiyY0sIn1/SIK25u4YxUwxAEDy9Hv2lNic9rguNYuUsW+8vsMNmsEEqhzXCp1
GKky1m/fNWSuTeFV8abtPPhLpX6BuUBb92kHOyEXULr8V23KTgQ17rXJNHDXTmSPq/h2Ujx/4oa7
UhH+iTElKwfoP4WCWN9qveTymd9TKY4lo/wSzU7L7FjP7kbKA7TcoIaK/LJf8ttIHcCwMOdXLpUD
OtUDTlb6K192lG+zO5QtIPqBGWOW8llrMtzgi5RBXH2odTH1TFGDfG1Jr9k0n1xC45NR+Ot2+nk7
Ff96Oz29Ju9/PQ+p1/x+HjIwgHGgsWCdIpSq88Z3N1NUI+Qeqsl0zkR86ZtM5AFFoYPGMRy+qH8q
SN+UXPc/8Kc5PWE9QddhIPMzN9O/qWZVChU3Y4xbakby5yoa3LBohlVuXyZ9Ghy1IKv823FM8mon
jSjZDhzniKKyu1aUm0MBSvdWDYXB7jR7l/hZsc8mg3bhgUV/EXNX3YwddYqWY3OCIePr2tQwDXFU
L5IgP2hsdWeHHQT9Vd/ILKD6BZaFN7vvdsyBn9NZsPLxJmH1BFucj8MxztON5vYq5RN3N23f7I1+
lC/p6OUYIEIPxxd6jV7sZtreByO4qURO3aGc5lVjgH7Ns3rXzuLCa7x3+CrXkelezpW7N1zSyC5t
4kXzpAVuecwZg1ch3WmhFe2FNzwpywi34tvMsO+DyKWs0mWvsxKzxKsfPOOV37PbrWPdx0STvnah
yfLV07CYtP1AXRolGpGFZcA02dlr4rhO4R0rM+wXSW1gjU0vKuKv5I2Dc5VZr3XYXrbwzVreaPL/
1NIWQCwnvzxkTuIA7m935PBoG+VcIgzORDPFkgn5Wac0xcp0psPsa09urbZKiya6Nt53Qc5y7DQz
GhUinaswDcKHd0MpCvmI5wT9nBQAgSqznjfBlOLpKsMvNEdSrVECZs/FtIUFeEgDz9xmrnGRlzCc
hzYNV1FdP5R+aK3N+oPDgr6TifTWflBhqKC2g6nGhzY2xFM9D8wt9/U5wmwNXvvOrV0YMV66g993
nXJQ9XqVzyMGFrels7TVuWTUg+llyueDG1hfHfyL65h7INy++dmi7wNOzQtOouvK1e76WjwPJW4f
ymk+aNcDEzIkcLUa3ELOtEswSRD0Fw0zhuF9dHFMYNPDDFQGm9jovkxkuxZYCjZOn3yZkITAx9aK
5hbJ5q3nwnIiHcOkM1Om25ZGp3Q1KCsuPz/Mlk9/LgWZeHV7TOegwV0HekvGarAiH5l7MBl5MTxS
PqD4gxeRT6VSDmnW03BP4cLCMYTIieeq1y9nHoZrkmvONtFcUFxESKjlNQ6mGZtLtA+2SF4zR6XG
JTowF86oF2uabvE52xV2lkSAaOUsPe4zAooLuyqig+uOpP56e1iDGmgXUwiNRe/7zQCPgCv5JQgJ
enMNcTZpyV1wnLvGRh+smjS+qCT+I0M8cn+ebmuhJc+5UNaSCkyXKZh9+nW5dls+kLU0E1LdwYK7
FTJqXrKbExnCpejyuTE8jTMUxi8xdD0WLgsbWQEGU5vOEGYh8dNn2lV1uOhSCJFG1LzVnbYV0HgW
INf3ucSIZtnuQXNN+yCC1F0VCjJP6L5+MZg44aej674LermwlIybhygIESUrG61Mgfm0s/6lEsZT
nGX+xmv4b4d6cLf5PLIqJSlBvwwfXqPFOtMc3JfCUL9fX2bIc/6xIliYDsMFZ4gYUaM7xEBiw4Gf
WtdsKpqLo5jMLQJduy48ktrxXBO48dzlSFCdNaPjNzRDCiF8A0Rq2mR5RstOBHI2Bs8C0uboBl3A
jUvfRnbyzFR322nN7ZxwbklTrjkhlXO5SM5NV5NH6DiBAcFAbSp3sms+AtMPVzabx4pJNQ9swuHt
7I7ZXdbE6ckL+ytkqgZHD6y5rICYGXC0JiD1iDC/Gazy2Pnu+1gYgoLk7NAmA9EaMW4diCy/Tgi/
nRAQK/5ZMzm9Ns373017edW3MwL+cRWTliSZMeT8GKzBP67+2EX5wObh/DHtpY+VI4UCrtHtoaSW
P9RrGrhw9Ej+Rg4KzJvo7foZ9Vo1gP047sWKhKRjcyKxgKt/airf+Z76zhsxc8rhcmIy46zD3seP
CHhlIpoWhUAc/GM7JxjFprjvkwfRCTyWDKmjdl/OkeoWlnNyaiZvmNfxaLQzkNVSSchDjgXqC/Zw
BygqOOt53QY1Sxz5QvDQIvA+PD0T7e3UNE29wUJGPNenptlbpWUxSEpXNTVQrWRgzNBkk4Hb8lwI
C5BiF4xinRlBPa8tR2RiobAXpNwSjLR6Alqz7gPLvk8F8FhEhpr6csGCk0urRVLtp91oTl38MZju
uAlisoLrIIgxY6hk+y4EqXPQfDd9i8jarDz6L+mILqd+raUkI3s6EgAfIQzrGTdgRlWYUGziivOc
mdtWnyjOsqvA2tpT+CEHjUbY3P3gpMNdLwtIYpd8jV5Hrgl9B3cBdvkxDKCquGpRDaKMiqeW9AuR
OgZWjpOwSrcJgDPqqLgQgmjpbGyVTAH0HWXcnEN8gArCVSHAuQgOZa2lV9ZEdDodEa7dMn9PnNne
mqlJsXXYW1vaNaK13gAQTgKKqS1k/atE75ol18d9VvaYTapqWLsaYNnANd9DMBA7JnJ8LKhtQlvA
gI8f31kgcryVCahjOafdkt3V3YZ1/eEMvg/GgiOSk3HwWw01qMy0NZxtUWTNAaxyvDK0MD7zb0bo
KWQBsbtfRl0MB4h+VNKRw3Tteb69HbwiWzfq/g9aD1RQbbmoIj6Ejbnmn+maT2me4Gqv4mBR1xbl
RgPKT0FXJxdrOCRdYcZK8qiuAyjGdCAN7bUTcSKZJ1FBgpkmskaFkW5m3RvXDeXeKiperkfhdFy5
4G36Y57sRAqqA9NAtvu1bH4umwaWw39eNi/e+9evr3+9WqlXfVs2ccLwN6lFycDFyBr53dVK0Iqk
K9a3yiSyFP5wtTIkBjtpcL9SL/9DaoYOrpPIQRpmyRSM7X9i1WTa/udVkwptR/k41dJOQ5P6+ner
pt9FpWn70XSJi9icuN0b/jQsRoYy42wMC33Cn+2hcJBPvgFn/0axsbZ0NKz7Q8gzNMFhIyriHZoE
YIFuFlCH5RuryjntvAfk2nv4bB8dubtKiS2R5zynJRMil+a9pUCR0Y3sVCiJpldiTTKbF4NehUvO
WNaC6uUH+A3zxiw45gjUHoN5OaAc+ylJnYdgmt9Y3vIlKYHdgFKEAnxVoxxFLpYXMku3GZpSUYwU
d6IyUa0ArwjdSbgxlcp5v8lQpEyuYDEKVeV2+w7FCmnfV6CqTR5qjyCdltStLmyDsjy0rlnhBHMH
YoyfNwhhKGIxyljlctoz0coY3n4tvOiySeB2BVE13c7YjaMezrEom+Vcoa3ZsQnUCa8Mlm4tXnua
/ZzNibGWg++sR9LVBxj+8LIGeue00VfrKjZ5pfJZHnIfup87ICOZKIFygjc31/ZDXfVVsgyi2rr1
2FPo7+k+lcRRNs18L4aBpFDvgghc2YCQ2QtJEIHhmsDYsjsFKa4/RDNmd9HJlZx1m2mrp+NuHnr4
4g1xQQ7yW1o++uXntdi3xb3lUHNEm9t7yWU51dEreyq0Z4vtRDZ8cEK/u2/z/CVK32vfPlTUgS9s
i+lcR2Fd7cQgkvNdYZBeCpMSKoADTF2HopVM5jEM9cfJIvlaon1m9vRaCbu6hw16E2TWjRA959AB
mWzcjnHs7yLbN3HB+zuqgoplUJlHZCix8LTS2U8aE2sCLw9aX7sLWWmbwTOII/VgsiK4U/6wnz2m
pHpRci4P8pWn1Mm+KrcRHsuF7sycTP2N2dk0sxA7quvuYU7Tx9Q2PuBekT2IqyfdLU65n9xPTvgc
ZKiWIVDFscVTn89PTZ1n/PXhzgcWvkxBmORje8g6h09zPD/1RF2Bkb+2E5Nn2zh6cbQCSPkMWrNd
+WQelokOIimtFeq0vkem7ulYolFEd5JjAuiwVIpu6zxXHpeKupNnLvE3c2htIYg/ikkbt/o0kVPr
XqDp3VA8snFoaDYt+3IscaOChDJOsQsvuZI5uVLql0xCH/nXhGBR14NRbRT9L8IeCiwGN6Y9XUXS
Xrm6z5+oEsyWNsy5g8xAhOM1U0WZtp4QaYLXKMjuqOHOnVQZorFIERpq5y6ncdOt9OfZDc8pTZym
wUVKVXN6dHTCh91lHmki6VT7vsv4APp3aYw7Da8bAoxqbOnFHR/jJyq3QtUcSa+8vKag8KtHdxm4
k+Gq8AGTZo1Q1U+GQysnaatU1Yu6LeVvdjKmV1Pi3SQJ6wp+1Grv96G+5qI8bHLpvY10liZ0l/qk
2Za+Y/sr8nwUm06Vt65j+1i6jXU1034KzIseVDA58W2ZCxCSKKsBEutcFCdzDt4E0munNFjMw9q6
TYwLOK8xvaGAVqfUJYOFeAs5dF53TogrOCm5w7fwIcvW4x1Qum+sFGDfqk/MsY8t0nCERBwiFddK
M9YHcy8RkUfEZIRaxgvIy0B4IWorxXkKglUcZt3SdazVry3/t5vSv275p6L5n//Ng/f0/e+Md9/t
+8oPj5bK1m5guNK/50yDeMGx45Js+DwQqM39m6RKppZ7FBb2b3nbP/Z949M3y02K3UZBqX6KSYXW
+8NlyVG9H0rpdRyPa5uuvv7dth8TaHOH3IsveMBm26FkYWtVj9+dha7+mnUxXH6Qv3wX2tBpziYy
gO7xp8NFRQUeFlg7vmiLOEpXBYCmcOGR81/6xPvWsdnUUDkMcXICtvGOroVlOvvHHsXxRi/D6zQC
/m+H0WnQdeRSoZF3dDtGDSLSl3oQ7gcj23d9eI56b8fE86TPw3VDcqeaC3YZ8xLL70GPE5X/U7uY
XnkbR90oqGrHUmN4X7HkDAuZMLSNW+wsZNQ/Iuy4UKAlVAKqi2hC8Xn96NCtNDH4kodBm7OtP4zO
qtUaCA6eAeGlm7koJm2uL/HQP/gUUmN1ss0XI4OUrXEw2kZ6Esp12FVlumZymDwWhYDdSo/stAs8
yKx7YYLbQ0xyL+ginFA3gMuS9nfDcIGzxnQfZqOSq7Qy0m2tzaCfRDGMDMQJHOvsJp2dtZO/0Gl0
uXQJEJ75+8uV2uUSbeyOhZZvXQSWFc3QtAkrH3TtuNHOTK3k0MFaca/4fo35Yk+B0xyNqegLbs7m
DXV69ngVUo9MXcHkHb1aOoceNeiZUIf12DshtuoUYpnV5p21dyHs1BzU7GHeuVzC5VIfGo9jGIcs
ial4DZnaWhnlyCGvA1lN+fS07w27p7asc9Yt7zmb6dy8Nmjr4wSKbxopOfaqaK8ZTB8xomPQpMzk
Zu6RufQpXUMB827gz4gF2hW8x8mDWVRmcIESa9UXAsN39Ohmdn/iV9fT0hjN67rF2UlWknt/OkYH
ScfJ2kEl3LZtKvD3+Gow1xv9YqqarTT7HZleNpLRaK4DdD0uldk5ytMz5Nd8k9XRtVXYezfsGHzL
dFdEAL0CU79qvOGWIG5/HzDU/SiUNS5OVnIY5UcRdSs7a1aJX4k7XaPaE9ebZhQJZ8Jsk7iIdCNi
ZSPLr03TvudR/T7F0wM+0FVt9of/Y+88lutIrq77Kn9oXh3lzUCTctdfWAIEJhUgCJb3vp7+X0VK
3SDIBqLjm2qigSTiuqzMk+fsvbaFo43Bi22oy0adxNNsDq5idVt8NkeidpEhDV9EtHB1LvjZKHHl
xA7Sz88wILiqPgdiL7mjnikUmGQgpNrwoOnxl2zRVU9v03ZPw3b1PC5HOZd3Siif9Kp3Oe8fKn6+
tiP2rTANLxh0n2yLLSqJhyloPQyRsl2Lta0AnbalthB3IE4SV5qpPQ3jks94rZEQ4U7xEtKex9Cq
DmJ8ilQdXGYgX3UZiVVj3R1CeWIxd9ImqyeSqwKuw2Y+HyweIrE0bNlq3AlctVkpR3Uq74Wlc1LN
uOnl8KqoqyNOFGeQrWPeD1eRxXBArjwZBwoNksmWZ+rDJBoJeGsIUQ4b8ZwK6WOZSo+47/eIPQ9l
Zu4Zxl4to+RmkHbLLDtpauLUWT0fFsOg/ULxYcKNrlNj26+leUMjOiLoeF7GvVku865eimIP+fxr
PpPHKUSEK88hChttUlJG3NUmwHp9vcxI797feVGU/rrz4rwgs0BkZIbe9M3+Hs0SWgo9A6NZc7dA
RDd7xkA+dQ6T/NjlxHcaAxhoBD00SpYXqarbq7pOxVtzMblhTdN13yRHcQI0Zxn34tRt6kj/VqRJ
6FZV03jk7hCTNIt+ubCmsyAGN6y1zkgPijk5GC/D7LawWr/Ar++dOGnvZCOqvUHquAqJaUn6tzPW
TjvtpCplIBEUJMk3GxnpT4a4o82Nr3OW3/RGskcUc1jabF/3QESq8ojt19p04wyac463Mo5bpyVm
Rif414/UZBMylnRbsb1WZ4B/VaTvxcjiucYgcQw6iYqqmT4l8aDals7ER57lCzVeCtCemJGmOD0N
1XKOcCOlo7bR4AqSEEiBWCCS6U140TkXQXhPnhZWxywEGW0U8kWcjYesz7eca2TuVCDYy7n1y6S5
SJPsGs8cUwfyF129EGJHAfcQNM1lrLSDmy/MCJsm+aTOK5tgip8suPAxgXpMVSrHZOaVpvWKzN5I
VY5IRXpI8tnNFVJmLHU7sg8pbcm1cw0eFwfwscLXQNIXu+LmTu99spGjSDsYgOxl3TE29M+ymPmi
yMwdqO/DnMuSk7RzCswtvFAWHFdgiNZEhMTcQt3u70pFGQ8oQJpTRvNq9/5SxUrwtkTQYWySurEy
OlUkzD8XIkCBgLfl0KtxtSvJvpF7+/1X+NljwJ9U0NIxOsamtLoaVgPT61JH0RfyD60QhQnsCEG/
iPt4G1fXDSBIlJ1OrNeQELz3X5P2zk+f69dXXT/3qwKrr9KuUhVBOIlzcaPRGrLBWN5wKn6moYsU
Fh+BA1zkHk8btxySOoYJ3k9WjCv6Oy4dSB+fS8E4xp0qOm0e+Zk1Sl/MCFd1LiafdDMf3RBQhpGp
D3qQTty1FL1nNRWl1y9G4ZlIbl2pGkwHqMm86ydD+VIWSeczt1a8OI6fM9aqV4t65LIDz25n6kTS
99ZNr2YLs730E8MqeZeHymU0d1+ZA205lG5Jgfb1dmxtWUu2ihgJzJapUEg3Ljbz0otODUIdf+Nq
eoynazkqiCyJSXxTIHEC9D2w6L/V7ShzC4p3jSpsmQTfTktyr4rpXutKZqQroSgOFEBzXYzAvNd2
6ZIcGAa7xRzIrpKJIgdMyi4r3g8ieaJxkp/MaNoUzegNwcIKFr20C3OQc5VbJlBIKsyCbpMFp4pk
A3hHW6mEMWqG001EeKQ9VQJZkwR4KEonOqhcNkJFnojUl096WJ8aMb+qcYA13dTZrbTHZirQMVe2
BvNE4iOlT8VMvmYAe39o+nNF94pYANBXjfrCTZdLJMFttaZuwko9GlzqP1huH63xtRB/tdpGlRJD
BpZ1So7FZXgW/PpQ36GN32lb/UgeeeQ805NhLnkqHscfkM+/5eqsHcxXj/B/lzo2GRxGMi6G9c29
enEsYGaRAo86IQq3i6PsVD6xm9JBuDd80RM/XQjO8X7wEpQTT/xHdp6Por2P/eCMXjz/4N38fPD9
eDMKMlziemlncv79/GZmcWSsDXrlHImXlYI0Xbxvhh/d7r/9xD/vWb++BjOt1x94afJeiKIs4nB9
CZutNV+9/3P+9jMYyFyMdXTGVOvnv59PqMUIWOPwFi5rMtwajZrzxw71P3G4yvL7+479Td91L82v
Hfv1X/3ZscemQ6d2RTSs6Gc67H+JoSRu7vi9kEFh46H9/tfNfRWHr14cBqAWQNU34nAMNQiXcLv+
GI/+g5Y9EwJ+/p98rbTskZlrTGFpBvxydx/kQu5qwZovkEy1vihkhdficEdZoZhBTZhjMmn0cjVy
dbSgqJA9IRoliVczU3jzzYLxPRK141RM8O0Tohh6WnUYjERIbgo2U6mzyJRDCzLRB72SkbIQktIJ
B4KbtU2blJ8tRNOOoInPRc2kCovtVR4DIglGKE1CNWSQ7UBCmJD6inIQ7bAySOQpR6QVJnqQnkx6
BE/yFQQ/WP85TXQIe57YRNpWMKifNYUgFgn7jkmFVmhOXKXXSFVexrS+KWlRV/nYuA0zu10yCdM+
tADfL51VXYi9/ohA/9qq+SsBYgQoBiNiYbI6J2rvYLROospXo8gZE7ThSkyXu7yvPllJfYij9hFf
4YY4Qd7sMsoOSZRHjmoMT6N2Wirz62KhQmfQVpMKMhxmg5sD7r3aEXrY9BHRABbx0ikOIzwupR8g
STeE+lTI1eckXhOOlSrAuJ83HtKcL0ssnyXkOd5oVtcxPXhHTJTavGwVU5g3Qk8sdhWtqnc8M07d
wB+TGq+pyo1sTD50k40sdodesnypWV4WE9+SZgxo0bh7Aymju93OCO77tnLUHGAAWNJqa4XohkZZ
vSet9NQLSgj1sPKGSdYopV8CQ/dkmZRXOQhX5va33ghL10hhY3XqUvqS2GVMOuXLoJmR5esoNKqk
uoqa5cms28CWOlRCkLp0p1klQYWONF7u7pKkvOrFnNuCTgoRKaM+tCayPlYcLEl9kn41jeE9OmuL
sXKLGL3L3EHI4RrpLFezRUkMsbBzjXkRt0ZWxB6zV0S+IVKWuLaQdyWX9G9qBPT6IRjNxuXGTvKx
Fj+hQgP9MpRPxqQ03DWE2G0Fop1IkVTRh6Wpxwibgl7ugZNJS0USYKii9QtJwzJYU6UiUwHnBGUT
2UCNRitoWmBf1oRVKap6yITxCl/DQ2EogV1MuemBADrmurzlZOL6GVoXU9G2ZL7ImmNE0k4Msfvo
FXcQALgRSsTpogQ00ZQdIJMxfe6T/j7Jib+cx8tE7REvhfkLm9S5kUOY4aN5HkZN9BIAjTbGsuFo
ze0lraGviRrD/q0iujnzlzGxziRk3NCeILhIWxCtdyLKIS30TS1J/CrEygd186Et6ys8dBkxDulL
soDdIWRks/TYl+RM0Jkgt8AzwlWyHyI/Q1fpCVV6T416D0ACuMyAIFBMHtE+USp1JZGIZcCQrwSb
UZp3SSMcoEjvYflQBkyap0eI6Ustcfqyd0A7cAe3hAdA8tjtSgiXyJpHo2V2FBqfu4XsRdQa1nao
YEK0uZVvR4mFV5N8cSGnJYSieo0u/34a/O9YVDlF3jkWn4ru6f/ZT82Xp+Y38+z1H//3dEQGhCaQ
1jUSG/qKItepP6XCIggYWbQ4MmXCpF9LhbU/VtsrfWvdMv/TDUft1UX//pcCAgZoCxo70hFW56n6
TwbaP5dmq6F8JU6sFBqZc1hX3l72IkkYO8hw5yh/XNrzND28+louf+1pY/N6e/pa8IiUtacNEJjj
903x1wet2gW4Ws/9oq375be5Us9ZkFwDkf7GdAnFXBO7uUqOtiQUOyxe26ZOmO9A59YFvdww7d4U
Bur5VrxN+siHG/1VoKNNS+vYw+B1WvRt9hJlF9IgaelRGbpauQhzUJH2hAMp5Et0tKjOZ+bi89La
o6jtphVVxd6AqG+lV4GzMVx1RVrRLUbru2Ku1FY20d2EwudkhWBZqfrcr1gs2pOhw9y2PqAn/h4a
fWFUhuBl8LSsFaxF2QNceIVtJdMo2coK4JJWFNfcFIcBNlcKo4srrmut0K5xxXdlcLyKFejVQPYK
IHwpkL5M8uoRFxWPgoj2H/3TtzwVcLhxKLU5Bg4iJtyw6m6MhKgXSGJKbT2mkMWKqt93K2pMgzk2
pfTlVghZuDQueqJ9bRhPgYS6tDMSGukCHpX4qVtBZq2hrorMbRYmFwJmDq0YmQTKDy0ENPJ0AJNr
R3VFozXycMoUbFhcjJsKTfkKUStV6y5ZsWqwdi+bFbTWQlzrIK9VNdSAWUj2qqDe0i1G2LRi2pRF
vYlXcFu0Itx6WG7zCnXTVrxbAOdNXIFvJeS3HgLcCAmO3wLRUwHMM0J1PkGLs6DGqaVCwJx21ls2
aKhyUDavoxUz16/2aXU4obTclfMI3j4hDonLbw6hjn74kZb+jb6i66Dl3JOQdIfDlf5C75cw7sxF
84WpeaSSQ4PWWRtBaR9KPrw85xNzzOUrkgqPCbbDuN5V0ulY0cxD8UobV50ZYXffcXsGfEz4ezwF
fhInD2FAwNbUdokv9D3Lpv42w+4z1/BNWH59Iz4IsP1aY007gvY3QP0TtezLslIAVxxgBBcQMEhK
PiOoQFUwbiPYgXXVAxGMGZSKef7FknIkZitq0FwMDdUo+ME41hdKTeKGgOQllvq5r0AVCjKlarbi
C5dkvBHhGQo9YEN5RRxqhGqvmurracUf9isIkTRnNNy60gJQrcg3g8fgjZATw07WvVjT78QVqojT
2vyCf5DoLBgzJVDElb+Yf2cx5rMAz4VeYnyeVlhjzcXftfgqbLJAQ6f5AXUsI5eE4QaAvyB63cLs
vlgxkKWpc8TlvXiodNIRolm2u7o5EDl/UakVlFkwUzYzISi0ct1uoWglXhj3RxSHlPFpRccUNRwV
iYUjC2UsbZvKK7u6RE8WZxcGMKt0DWq9WgY+cRBUz9oy3zWB8mSk9Zb9jeASKXcsCWzbnAnHIJUp
5jPosKmuESeC0vamXB0UiDOC7L5Pi+txgP8tyzoNU9oZcuaQ34aoX+rROhcHozbYEAmukozxqujB
bFerthjia1gH2wwkOfJ4p4IVlwG0jbToJGbifdoMRG2L+9EiQ7mY0kc1CTTEGZ0zmoF+kDr6y4Ea
G19wxMsOiqI1rbUe89tUykd/iJWNgmDGUbBLAIFaoEfGcXNazPSsyNB3rfZKqnWSF1qYmzlRK8uo
uWx5OxncgRcqerPL5uETuN/bXCbEDdFD5rYN06AZ8bnFntPvR1EvHwuuQOy/Ar2rSHTnvoHFai50
uipdvSgB4ECySo0BcGU0bAo1n6nUreg+qHkFuc9ui1xB2cHpue/nJtlnSXguaFk6maGYuz5liKiW
xi1qeLpRagJ/NcdeCfE7CHzygm71YL41C235vAQFiZ192fpaH0q2McIewJkPYoi0LwaLpUMmD6Oe
Qes/N3Fm+pM5x6QlxmPEqRR1W3VAJoC01VfMnGI5Lx/0odoVY+xPxozaorwQZ2Of1vMnMUq8geLb
LqvoU5/Jt2ZfW8zkpmFXCknjlkE2k3SajHYlig8KBh5XmdT6c0+JSy5ZTkRpxEI34h6fX6B8ltdI
brAOk2/2AvzPXpx/dDX+tjPzm84JlDlKDcsAogFu7ufOCcU61/MwKc4duZzaRP9LH6/Gpv1gvrK2
AF5dwb93gHgdxvva2vb6tQjojIXMi6g454yFkLJ9Yle6NPP8ke0SPtps8QPM2XaYKj8z020rR+Sq
yjZWwQM71VELGO5Z6RUiqWvuUZ4S9U6PRRmw9EvZ6zTqeQTUhUGwGFKu/VnX/aaA+e07B+ljSKqq
oct+01vS8r6MITcU55GZdzjfrjS5qDy+/yJv/Ot8PxbpCyvnEkQgqqXv3J9XLUEwIhWhIPgoqjBi
/q2rO+i5KgTomnNjGLAFC8NnfA/lVcEcb7bE3WjiDSznio1KIZg3yf1IWPor/ErWTcGp1JeExYnQ
8FQ6E46GdMrWyvAc4/uZAo3vXOa50XNwlDP+2GtNyp5SYlxRIMWbZYQx20pM37M4pS+sPAuN7K/U
LYddCXIQsDKnrLn8RwTQcRRR2kQ64zv5BW/U02SsLCGmzpORnebFYOJjzMJWlMbkJMKwsJcJO3go
MSmKLNzPUhzeBb2U39Yj1GRLCo9aXqEf0yvAFxIN6pIjTsJ9MicGV1BRvmBixUR0mVBDK9kxEJ96
1e9h8rMvPpgCbmJjlLZzoj5kShN5RVUw3UG5pyBgX1RKj4nHDNdmX7pQh7dNx5gol6Y9uL+nNJaj
5xn7iKjXOSn30UkuFzo0be0zfmKkJU/Xua5nTN8lm7HRdMCK9QMK9LdPJV2wt88L62Gl2rAcmEei
OPn5uQwUoWRarIFik+QnxWpzd6FPdNaFuuVCFz2G7UoqISpc0km+jb9b97MT3wpO54j5qhy2pw6c
wbjIJ600P2MHjgCOaLXfoybY5RpTozBGsUYUpMl8WM23xG1VLtnOtWs26CxVNiIxLwvszvVNmMcE
CUUt6GdILCis1wxCQozz5bkp9SdoPBpQ69Jwmlz+pMsztTNkd6WTXL1sCTHTBLQho/45MfXdGMhf
dWMiwmJkG8AwphfTbWBBGsGfVpfKjc64ZwHm1s/yjTYMpzSJbsjFuc4Na6PP3WeTbEibulH0CEai
FqwHhOI0fcxVi68w7Ycdx8mhC08CawJijvIgKcJnKRpqt+4WxYsM0R8WYQICU3qS2mxEMdlZxNLI
zMk5jVw1ZaZhmuPBwJc/SlgYpYzRd9bdKvDrLHNCOj4/KSMGJDCNBX0gfP4nGnAuwU4XZTQdjUL3
R5omkREnTlzQH7Diq7QCmT6bi1e2s6dngZtXFDSlHnIv4WEcBOuKQf632BAC25hFR+2xJ+NtcPQW
RAQBeJKkH/UWaYxS8yvR6/DUcIEcTYWa9uRVYDNPpRGhTGeHQnypRTRnotKXU3qRnOKYxLamlD0M
VevjMyisnUoWt8SpmQWj33G8F01euT2wFzeDlkcO1WFJSKezaJaMEhT3VmTTXWTJTySTlox5SfDn
NiwQH4z1sTA1qt4uEy6yiubZnBl7NRwPFUHsZCCvLaAqlpxRTLZRNZ6ElltChmtRyb2yNxAlj5e6
5hkoXGjb5JOvY/lTt4Ex3FciBKBcPOka7b8pUI8oEZiNBEFw6OXBcFo6I+SwMBIfB3zT1A3bcu5a
d9ahNw9UIUaJ1tjAPEAsu/TB0fbBk6qs199XO7ccWXNiVWl/1jn3h/ZEnrQzDStj+yJtThI3lveP
inW++1cz+8dJ8WpneEs6kSPCDoucnaEsXyTj6zBdk3RThJ9H9YOhzUqZ/eWVUOSpjKgg22EU+vmT
jW2HTFMcpvMizRhI4qldo39vQUaUu6gUWHPTcKgqnEAl7JcTiFHN1hOybpY1WXTk7zrINb5B6bqa
CoVcA6W/E+LyohSNm4zyjVuP07XyDeGjk1uQypN38WORqPcCaWrXYQ+YXkO3ucm1fiXHM2mUvBlG
BTEHwaboFOMervZNtWQunZR9r0BOUGTSGeedVlkXYxoeGo5tQ0D2Kxc8TAJjPfx7lXSfV40XZ8EO
HsraUzTtTsufFnHWnGwMH+rJau7ltV0qt0r4wbf6c7/lx8/3+kvFwvB6uaQ6SQdNYE5nc3qMli+z
+YPG/LdHx0d//83BwXCDGpk5N5r+mypBrqx8en/9/VIPcTK9+gD6m3ZOruepmMrhfNbky5hQHr4m
MZo/mM+u38LbRb6KD3RKUgn425ulN9HUJL6eT2HJjtw9d2NOTfIpnowPfo0VafTqhb63v1B0ahJH
rUVpulr8X/8ccxIXI4EX8pky5plDzb3N/MCFA2HHzr1d2Pc73RmOX65jJ7qbvCfY5194otutsnv/
W5XXPtvbT/zqsf7+Rl9tI9YQWyTIsY10/uCi1fSmm36DpdS3PAKDGl/a8D37kkP6iB15llsNnnou
nt9/F9rv3sWrH/et/jQL2syUG773z9NO9pAZ+dalYV8wPojczb3mHHU331jnyJ+2iDS2tySubqYt
+569bPD+ti6tM9dyhWO/LTbtRYS8yw7du9Luz6JDANbO2pWHcdt8yv2b99/6m8jYXx+sNzcZQW7j
DIkZ69ImfcNvXyq/upVcgCdu4GJs91Ad7svN5fPR63ekr09Osk9sa5+csWo7gYd69Wvg3L3/rn5V
tbx5Wt6cDnFcDo2h866iHbRbZ9mihL0tkOc5ZWkT12FjybezjXmut/IjjTTv/df//cP613P0Zrdh
qxFmUvams7iUnjGOh0VIz0Mvlh8cSuuu8nb1vn5e3+w6JsiaYViy+UxNbQ/jszhtR/3LrKCWIYy1
8t//VL/f4/78VG87ygLJB4pWJ/0ZqDc3v+sqvPq/vcCbO58ymZmuk2x9TrWDnNAHtAz3/Vf44Icx
1gfx1eMu5JVZGDMPWlmd2zz1KxlLiPnBr/LR9/Rmc2ulrE0GI+nIK+NXwa1ORIfzf/scbxZYXy6k
8bb5fB6HCWUY8aeTs+SX77/IB6vLeCN504NQmGnOcRoAhVUt4lOzDqBm7xgz/IdRPg/hf+LD//YY
/e3vo4EIxc+sgHN585ImDoWgirv+rObf1sBQJaLJt3n/Y/3253n1Gm8eGugbYBUjdTrj0aF/f5Xn
H3QVPnqBN1vikuaTkpT1cBbZtFsZuUP2wQr7fj6+9+C/WcdRzNAnyFjH3A1s0rb3wzY9cUVw9oyr
PXIoPtQrrYls7+4166d+9ehI9P8Izo04oz7TGC7YVU8hr22PTyQ17Qb7coHKwNGtebkDifNKsK87
bz3VLx/qS2XPrZ1Bsjd39rZwos1HcqrfHuSvt8K3KyduRlEKeOiki/UgF2wCBtRdITl2ulHd+8Le
i/Z8+EZsF8mGn+bDaI8f7F7yuj2996O8+d0HodWj2pqpJdzBBe682LJuW4fMvUanclQ2vfsg+wzg
6dj6zYZMS0f4YIf+6C0Yb849/BOCCuu9O+OysidUlnbyFayGaxz6l2lbefnR2EDp+RY+KM60SS9w
Xb28/3R9v3i98y0Yb9ZJOii52hYszcaf/NqW7Hit6napczvspt0uXouWM0KUezTZbu5XG+MSGqPb
e7hk7OjxI8nh94vZL+/nr8f9rdDOFCxmQwVbSu2pG32jZ+7kky53jA+S/RzuAj91zF21pal3nBzj
k2dSHRRet0n9m9hdi4T/FAf/G91LbBl/tnjdJwb1L7B3uvn8lL/8+1+np68vv5vZr//qp5k9ejZE
bczgQWn9NLMnkRY3Gh4ktFGvPejGHwbuMFJqEU9DaX+N7tD/MFasF3BSrjQYu/4R3gvW509PONcW
kxh0+sSM1VEUmOubeL0H0tedW7mTwgsiVjBo5fRdWg0K8tyclS67r1IB8m9nuUs87w1SnzdFHiJG
7+nBSlArh9oZLQ090dg6pZEdphIP92Ilp4J4cqbwwtWqQLa70oxpvGR3orXmq8bkCSKbeZb6ihBa
k+2lD+n6DQ96ln+TktTTZBTZcRg96ha6Nuwwd4jTxS1O30OYj4FjBNrg8rZLmpBoNWMBBoQkP/QZ
zdw6VrH6KCrQCLrf/tQF34axfSERQqfhJOqeWSaVg2/opkyjqyksuK+Pd8Ka6Gvp4eCUGh6lVND2
mi5obq9HfAMWkpvWKL8g4nlmnnjONVGnDclH7Js29dpKugT0SYpceIItfEgAxG6SRiMWN5YvEf5c
ioUy2XGcraO1bsJjr5obXWX0ObTjc9AmTMmknjC3yIQjEWkgG8XkFvvuJSh72l1iV/ORMuM45tZN
m9Pvy6WrthgbP8HW7ArWcogyax9106EqI9ExuPSuUWC7UKKjHpYMAxmolnbZa4IvxK3pWpG4fGrT
sthaTBq9nhE+bK9O2RPpkeCNnb7COGF8OEQSuGoR4FOemBtlNAWUW8pRr6VdrZoVvKEguJoFAnOi
urP8OUQfbmWgEmkb6k7RF9FVqQubsmGPjg1sGfXjTLLFpg2BR2ZVhN0qNGKcLapPVm1NFgdoFb0I
/C6sF88wCsPG6fGMJ5cz2MCJRDR77mUFcu8pDx4zY9zpYVOdYsYeLn90dsmUZ0BeTK64DF4cSJ03
FHq7l+X6GitT5Brw4Vx0mizInvgDsVWVbcMo3gn75Zm5uWJXbU93XlBRZ6WF5fRBaWzjROYEnM2T
kauWa076S1MNpddY0hmcZ+EoHUsZl9JEol+cIfTCaSkJ+k0RKY+DQRRojCvIbk0j23btlDltON4I
M2rLAB+Toa6k1pwkBSB4gMH6gWVsGZeBCJEN/766FXJi4xL5C/6djSHgPZen9iTktM5CslBtdSzc
Jaq/zJY68+MzDnaL1tKvkOF1eMEX2hUI+jQ8WFNDfpAyvmRzdD+FPPNyajK3pJcPxW/yZ4jGl8aY
P4xFxR3cjGnLtB0OdW2+m3CQ4fWBNsUsdkUhpC794dlJ0/LeLPtxAxPdw/RY4LCB5ydFoX5owCMA
eABXPGvFLRmfF41ekTVqteSsFt/irr6RlWhXyOZhMBk+dfBxl2gjYwWLBKbUCYC6cobMAtKdYUOj
XkPwHlyJv+vXk3QwFbq82Jt2pUG4K27Sh9EKt+2oHqDcfNM7w29TSvvSUL0yyOd9KcxP8mpbqCXg
EvXUjXCcB32P2sQ3p3AKeicxuu6+COuh9KeoUhcnEpryRmFacVdO04jXTkYwoYvt0GyV2NQew7TU
9l1bZeFlRoSuuUMirD4GoS4Hp0SDkZhjNXd7CyYAXjtPm2SWRgATOmC9bNWS7uSYcKcaWXeeBhPU
XtUbPVGl1N3gQgN9G+nL2shH9zki4SXvMrgylwWJYw/PFQEPmNr8MqNb96mX2OHyKmZ7Skmw7cPk
W9gYV40OAVEYNR9qSLXN5jRzUBpd41rEITfc1Vq5+DzFGzMgosZiplaLy6Wlxoc+pZcJ1PRJWgVQ
5YpnJ8FDGqXM6bqg3dYZ0s6iDS7mVJSdGWWnLYTJxDx1lNJdUcoIJpTiCX525Clyj0RWj49xmnyR
zZHdYPoyGbJfkCFrLyaSClXlOcwGJgVCeitOxwInLLmyJlS9YtngH9oIg0kEgRb7w5x805Vov+Qd
FjHc/0YWexIWBLTOTGCyoQaAl483+aJMiI/Y/Zo8D/1CQZcyz5RriRwT4EPIz6zmG2UQJScfEXrJ
en0dJxoIqcY4BlV9WbZi7NTjiH8anGAdyWcV9YarhYLPGKF1LKO4I4Xzsszrs6ADYShF/R6uw3MC
N3YzTtlhrCbUK1N3CKrlXqvpElfxxazB3JA7fV8FCFL7pPJjhrFVaz6KihlvFLEMHV0oUZeAySyU
GOXZPBBLRpMas6VhpQrqFPVFHywY1QubrUKOa5JDuIIHqfN/nPxGb/ZqZyK6iUnxjBtjZ+kG+zMg
ynRAIiDEN0TUP9U9moya/46AgaEU7tKVti2CL2/6smO7AdcihS+JZW21sUR/wP8aVOa3bki+Vq10
yOXox332f/XkOn39+3rygglfyOXkR425+/rvf/2ID1z/1Z/1pIFDgpxwkbJQlcAP/1VPwjZA+Inn
n9m/psHr/cshoeCdoPg0NebAP4rGP/H5yh/4IpBm4KtQYCZw//oHDgnpTfOUGhJcKUUpQYQWWk1p
tWm8ridrHajYSCjQiZORJ37JUqic7H0HYarFQ2G0PNuCOPdojaJ9HMwPZihxzSZoTlkT59iiRmOr
k0U0eLXCMFWsalBaCN5Ch3ir8g5vNV5R8lwIsSvWPDsoaLoMlYbxqYoZ9qXrxQA65xqApwHjcoqp
dAsAMH7Ux0ntdRkeVtrgKudHk1j6fl7xAhacgfY7cSCNK/q3yQoimOCQCdjUgJYg2NDiYLAjuAUM
KtFfrygDQUksP1vxBsyoMRZCPMh66aKCgNCiB10gIkjKgvwEEr4iHNUyI6g72k3EhzuajoppkcAq
lO3Qu3KrRsdKRapYCZcJ07LrKjAP3Ypl0FdAAx0eNoG2xN4vjKk36wD2Gghw+Ov7i6lrL4SU4dMY
YgqZycQAgjJ6aLl1C/ZKJ1ROrMzNt1TpbuJMvAEekDNlz7riUqjT5aSoqZ/XlR9WevSZ0tUxiM4O
0HGeBpWcbaWEm9qGiSNXRshkG2mi1YNDUvIbQddGvzLrzjaQbLhNw/2gXoEQmW7D8UM+thi6K0tF
dDGEI7ygKkGgp7XEhwvltY4W1dLXWfCMosJCIVbJkgND/kTF4hPKGEPqrtRPrcV1H7DPKuyBb42u
hMoxdyA/NPaC0O1BC/pVqydYTBALBAtOi87rgx7bL328NS3LIMDe0pGKYcj8eWHjtBxFJG3JWUZ4
4pNqJT/hzTSdcU4ha3x/7P+3/62Jg3+//52emvh3JEz+0X+3P3mlZTNB5rdYN6v17/0pgVdQxytc
T9h90EWLr7Y/8w92TBjamI6YzcF0+wvtYvyxBiISLKLgUUaWJf2T7Q/09dvr9CqzZ6oJDZN3wR/8
eZWY0GN0XRCXC7TgdzXBORi75mKVuKBJX3LfrPUNwdQ7bRawHVt3eUktKvbsUbml3yamelLKbpcn
iVcPZtC6hpHDCI7hJXzKSkvywHZdhULR7DoKQfKTkHN+ASxFmVhIyhAdkCbkE3JrMbD1DFU2+uDY
yzG3XIlAd10Ubjdjurpvh/mC+GdwhoXiVtGSUguXt/Ms3JVa8UnhSmiLMjWp2HC/EuaLKDb3pFq5
c9Q+Nwu572kx2mEiXleJfElZdCcPLfklHZVF0K0+/ibl3lR8m5slYdeUfDKpQ1dukHlr8nSBWP+p
zrgsaYzyXUhOX5GVLm4nAqWwJtMLxW50uMlKfmroBsYWQZ1341QKDsqT/8/eeTTHbbXb+q+cunOo
EDZS1T130OjcbDZzmqBIkUTOGb/+PpuyLFnWJx9VnaHLE9sS2RHYb1hrPQets09GQlWjhYe5sz1Q
kzbxyiGpF7jD6r68D1X3URFIhp3UuEywg7GWv0uimSTieL5ta9SrnVaea/5ArVy866qGeTi6cjvZ
kRvZWRlkOy2b7pKmOyhF/67WtOSqMqG+YVtAwjL5T4qStAsjTbZVww3WCC2PSCp96et4jk2MuSed
wE/iIYmH61vEcWEBH8RFBlTECNoyQj5X6I9mDqhS88BofkaRvc8Nbdq0PhqFZiQLxdGp2Ixt19Un
P63pMnGLH8OqrkpMXlh/Nq2Jrm6Bp2tntPisGvPYjmixjELXvZCcPaH6Lwl+gSQdFSC0NL75+BxY
SOr5nV6RusRrAHkZQrKRQ0N5Vmvu8yhdqC0T4iLIRJ+SxDkShogGXG26td6F1lk6GBjQ8voa64M4
19uMjGM9IC/GduPlXHfbsB9nr7FSQRkOi5xpxYb0hRZFJrSpjmghWxE7FGh3uCy3aqffDX2reQgW
1SU6Dg13sh6fkQBLe8vteBWajH39PlawesGMMYTiQ63V1PNyNPTLCLHVNkr6jSvQCg3BPkvwxI2V
/oxR2SRNe4pOtqEPnmuK9eRk665tBmJRohRIRP4yNeia+uihCPCXuW2yCkI+zzid0hNIuUU0Zr93
kpgqIbkAwHAXW3LIJ+2q35dIpQFYKFVc7ZRmYDdeTXP5j9EOPxxW8iHQgQJMIvpSU7Hl/PUhpjIY
G+oicUqaly65mMqb3P2yEvr3jJKb91+fUWXRPP+kSufnvh5TOLUMFTiDLKtt/MffH1PqJ8OlDv84
vigovhXp9idYnJqGTpMq/CNl7M8i3SbK2eBII8lL4K9iSvsbRfpHhOl3a52PoS9HHnU6QmEhvyF/
/XrgDkx0e9bDU6aSYH4M9dZ8GjU1dHZmTULgRUEZvp+7ynqyQjFgs1dyYvuHURke69lu7txQFNeu
G5kzortuKNZGbrf3jdEh7EfcaGM3jAmNj5S7UefmMwazQBqvJ54+WheOg/c00E5db90E6fSMauZZ
D33BlXZlNU628i11o6dZxA2UuaWWWKux99ES1nvyIuqF1eCpoA1ovECdnpMKE0M11ANyWpZ3jZYL
UoAcNtSWs07zHmlmjifX7JAoBjXkLarQMrOuRI8MNLK0ZWKQd+MjTXNqFMM951JeXZeG/hQ6sbEo
fM6KPKdqJUEaiE3kZh7pXGTeCPMqtuyz3mkedNbuiZWnZ1ldQC5MGJf5urMUja3BoQqI+x9KB/dF
coWr+7YSc3k06h4FbM6wonaY8dXZhJlMyKD+FCZCaxDRNeZBepaTXTzb5YNhVT0aOBVNpVq/zU09
EYs/piun6bbs5olczbYaU6bStmMGOa4nBNU3S4Q1LTze4Jj3ABrx4AWEkW6jnH8T/dih3Czu8jB5
ZZxw6Yhw6ZTpZy0Jb6yiJfqsjcWZb/o7gAKXUcmAvDfRgwP1wIrUWWcBu23OEExSlnUj6oxJs2m/
WkV+mAkvKycHdYrqMLkht3XBtDTGOjwecqSbrcQRiiLfpBHiWV10s9eSLQph4C62GrJ6IAqtmTit
EG5fg/MbPGWgCghVZy0quz/v5DCbnb1D7qbYtWRJ3hEyNpLi2OG54SwzjfA8n4nIrBSVufzU3dZT
/OL3A6kcIR5cU6hru3buLd15sH16SwqSNKOxGOXTUPsrZXLWlT+f0iRipqmvXf+CL2txLvruLHWT
i3myniKL+WmOw29djxFDWMZ89KvTobX42mlmfFbomMfhDBBD7twrNpuE1hwiT4tH31PqaJ0MyblZ
ZifDBWDvWhd9wyyXfFichrZYK0b1JHAIhaZ+m7U0YlZh78veOtFhG5z/lCYuQVJ9RfHoNzdObL9Y
ynisre5N97ObprV3mm2dxX2C/Tm0IdumboN+ls+BGOrXVBu4xGYyuJ0xhQ6QWydevMQhhg9VDZ5F
U7OT7msXhKesKzd5URTfcyQjkl6MrEwju2jxGjOaouzM2vw+tAjM4NjUafDz9KCkXYlZEv+Zr1qW
Z2fZM6Heyaqd0kut8R9SpZg8su2JwSVMyXXmszRvj52Gc6oTj4OVPVNN7meTBx30y7iM0Ba7u7Bs
T02qboQhtkaZJuvIx1BPbb/IBaGeNGOkDiQyqwnYihniNmyNQ6TV+WUzJn6zH3tNxoTlPSYffIcu
0a1bOG33XZanLEoy/JYVmVnrKlXRizY8+yAvIHCPQr8YJ7EnHUQ7D7mwPD5z85TbVCZmD96cWfN4
P1d5cFVrWnqIRWxuWt4CIJlKutVsQKIlcYHGIgB9ri56qw23rWIQ/05OD9aJUtXWSuwn/7aSfwzF
2ML/4pgu8uInRzQ/8+cRTedn6DZ+Ap3uD/Pzt06S09sifkQVJH0SJyJ3tl9DQiVskl4SHzJrUxpK
xm9fzdQM5nBfOzhvQC18pJD8zhnt/q2TdKgDLAprBnc2tu8f9DDNTKnfmR2eSCOfzyoyxNGiFE5Y
CbKpg55WZvY7pusKY7F06bQgVY+Q81ghMOdiGNVC2T06XaRm7UJnEoTTmDmLIvD/dCJ2VwEpjDnO
2cFMx8XQxl1wP3QslJYzPFz2qQlzsXLXiJqMY7c3rfGyi22G7KFSBGvbrBWvG/N7mh0MgGzQWnnK
Nk3fLqpe7RcsgLDzBUqz9ju81rl+rHOL9M0MDeWkXlGSsyDScFmSWsDKMjvklX+mDeMdIkPp9uGE
Kcts05U77sr+YgpAL0RWHHmJ3bIDHG32Ng6dT+fPaEbH+R5Lx4WmkqWcBiRSd0SylGBmFiT9YEXJ
nH2dT6/62I7LqOsf2tGkwQnSQxap5pIe/KIp8mk9WD3Jbgy3PGKFW8+w53GZtMgrCBKbV5NZ4xVV
9RXRjtOSgEJW307/qoiRNIqIbrT2ay/ztddxLAsiQbFbqdUWz0vqZVpK0LPOGK6u78g/zby4Gs6w
apHFEPU64zrjWuFEquwOOU1C3LHCIt6v/XInQswAoyjOY724qqqBTOTygAXXC8c4x3ODHMWuwBum
LwIE4aLGc9Ia3F7SBCK6YMhQBnvhZ6u6dNgJ+LTujOWYHaZFsnaYfXLKtMeMUPk11E5iB4nh1ILg
vqPm8RIC1TfGhHlSsYKL0SaBT7h4R6p233d9zI6ovg/wwS9m1I3TpF23wbiyxhSO6KiRwB1fBQRl
RKaxTDAiLixrjth5TemipIHb1okfeuroXqhYOlZOZbwVqdZsNapvBhjFuanl7SY0OGGN5JbB3F0W
V9ghq5MCDg8wX6KzFHRjT+aaxGl2N9gOZlo2KarxqJYYsmzuwP2QXo+JuWOfx9DWD0mLcUgtnJAz
8kXXwwORisCxXAJOwmG4z8k2WMZ6ez/6w50mmhvR0E3DCNnkoXuKG9NTcGYLs2VthS+cDfzgdXZS
LquEfG6HrZDRdtd+zDyliLWOtNlgFzQi2FZtddVZ8yPYxqfKpMQbIyhoJI5LZ67QPKF2t32EqEBL
yIktrHCvKMVetd3nnMIUXmeFfL3QrpHkr8mavykbdaMYxcWgRjKawLiGNOAsnVCl9x+Vc+jYx8gu
Fc9I8JZG6T1munwDres5C+ZxC9dr2/U1WsHQcb1c4dA0MuLJ2zZ/jBng8v6QXZuOs3Nw1QmxgKZu
YLTWZ5HFpHhgY+fr9PYkKVsEKwzrtJlOmibe6hR4WVFX55ShUDn9cM/AJ11Z2viWRO4VUSn2wiKL
BxPUyMB9nt6Hnqqx70nmJC1ceOQlUyg3MnrUxmvopyTt+9TTFusQ6FUKCoYymrxqKkxPEOyeBOOz
FbaIm6w8X42WSylQHTVFvCXtyLhrhJiCCJ0vFJvgmY1wzWY4KKLtBHY6/1gZszu25RK5ZJusyrWy
MypoSzpahFEXuwDgCjYUbiWaHh819tIT++mJPbXtUpXU/iFL413IHtsPq3cSFZolsoyziU23NDaX
cvVtTJQRqlyHu3IxXssVORSUlS2X5jHb81yu0e2BhXrK5MKUK/ZBLtujfrhz5fq9KxSuabmShxH2
OMol/ci2PpFrewgmBUMzHSXFFN7rw9sgV/zw9RCqT+IQWtnjOPGOam53nQ6tTnBscffBljIa5nbC
fAsDduFTwmZwNsyd2hTgIsXTXKvvvcaXgcrwpqz5wMi6M5Zm2jbcIvJqXWX2RY9YJzB8jaXvoJDh
3J+bSnLFSyWvNjzNsLzWppCxf70CQhgBi81maxk66q4rSOqHLTXuxGBe66X/ENpkhdZp9JYNJNH4
YqCIHuZ82yT9LSa92cPrhw+RzEq3+bdK+lIlSS3jf66SLshFfW7+XifJn/paJ0mIisusQNgfdG2H
XeSfE3fS2siVsSmfKKU+xup/1ElC/SQzauBP2abxx5rya50EupIcF5kWo0H7JiH0t2YZH/rPb2JI
ZhnMQ9DC8SyYtTAe+WGWQXJqnhv+pJ1MvtzJlsksKchOlRxjP/XE3Fw64XzPMmuhV226GQL3nvTg
ZpGFXGhFsCH6gNgkYCU1y7aVUdSXVl8wSVThnrF/z8adMTbLuQOJpjwWQQCSGMZucNJiF60XSioP
k6m7tLWZtNfGItGcPA94IQheOoy1wncegVLRqBsK+Z9D+zgXpCnpBIAZZn8BaQJnA6NR/lw9zD0X
GQPmI0Y3C35Wepcr3bTIavUtKpt3HLivDtmYTPETskL08TpzRgC7I93SpNzXM9NKQslhqliO18/u
eW5N00ERyRVL2Z5JP63KSBQIZyl/0W/eWZsJ/iIT/V4jH4HhNZKIaAFfU19mYQ2SsTA+q8kD3Imw
Ida2UbHwMg6yYjdc+nZbL6HHTMIzE3XM2MYS4LksDfJR6sZo3WctQsy1isY62zKKDrlHgUGiqq2A
oCjEYElIErtaSDcf4CQd6Ru8jGRn6H3NRFwiliYJW6KFZE8xp/VlL1FMzOirBdRb3io6KVL12HmG
Et6USYxTVlkPxQzYibzsYSUk7KkokOi1EgBF3g3jJQmFsiQeiu+mWMQSGRVj+g0lRMqVOCnoz9HR
l4ipwe2afRj09mas2fDmqJCaZSWxVEpo+BuS8t51iayqwqrzKomxwiz80pPnuiB0l9BlCbvSKpaT
kQRgCdV6cyUSq6uGATM5X1WgObtUBZxFOFd64RhBsiK6GyGYApXEZZq1ERK6lfSNuaH4f8skkIsa
ijZVQrpsievinUMVLRFejjTH6hNYL18VvDeIoFiIsnI3yOshtEeiwDIJBSunnGwJBhuLRnqdW0ep
D4PEiAUDQDE3DCEZSzZjSfm74sMTyMDMd6oIcn1gknHCGhvZTkAwk8gyfKtQvtGzvqgZVTlg+BA9
G6c9TBZyw0rRQ/6UDDSstRY7CMpVrrlgX8c6kqYZ4OUq/GCojRKnRrtRx+8pdTkmY02/LDS2Z5QG
zaH1Z7U+4P71anW8SRUtQCiZknhnuMm6SKs7Rl+Bp84+ZmgSlVZNyDKsbx6VoLpPC2lpd1wW4xlI
kz7DNxWrgOXsKb7T8uIiJt/kaXJnEs7DIDybOodSryRZjTAEsoIYIpLq7RU5cBS3s97CtH9Ca7Ae
Aodhnau8D3ErK9fokaZ+n4r0YYRbt+GQJWkkq+VNxD3yVpA44r4XXKckDcYE7zk3ZMlfVFq4LxH2
LPK6OLdV8Vm33Ps+VQiiq8eLdq6dnVPXW1wy183s3hIJ7q/UFtZj1dWrPp4iUnujaWPo8IbY8YAq
yvLDwCq8dsKrgP3Vwg6YoHWkLhxMdX4G3yPxevo2KsJ9Yvsnx8BJPRKdNcGm5EqhUMn5soGZSvOF
yN3oJXaACllJS9aT0Uek33cGWxZX7C3LZeCCP5/KmNCgBtd9pnb5yjIQTw3KtdU0ss5Jon2QY5oY
CyJVk2lweEoQfyaltdagz/GwFUNwmWkupGoul8sPUtys+j5jPR60Lc1wFaMd3qj0iFcpqs+lozco
8UmTIBzTIjPfHN1NKbRpNcehw6WNyE717Wkzwhxe+U1kLCP0myt3jilca/Md3ca8TMS8o6A7Afs5
ZEZ8ZnZjtsKSryN3pXo11BJFvWiidWib6ib1fW0p1AJCrjWaMmqYTE/AuH4U6RvdkDPZmGcbZly1
+jDIuHWD6VCYyhkPdymVMexmwCt6aRIUIzdlAeIvzdooMQCnOGMbV5GDSEwntSu3qT8yuf/d25Be
94tS5zp6q3+m1Zc/9X2po2oGGRqOJKdI1f13pQ5SeaYwKGWFDons20gIlqZN+YEUX2KyTZdf+K3U
4ZfoUjbCfvFDrfAbIyFGTKxlfix1pPaBvQ1Be+gZ/rq2mY0wC/UiUk/AujmmszmmtXoqgldgUsxJ
0cfAkYokUCoaXP1sKPn/tW6fLKhTHfoeJOBXKH2fIJN53LvHTZOED3ltbiopBc2dY8k0FJ37I7Ry
0rxQGc+QrlrTbhhaIiDWg+6WqcpNLLFYnaumXoWMdqnCzALvsLRgaJlcZxlMrTkkchbGli6Uysug
boVmvsI0aHvJHG2brkJ+CaFLC+ztIJFd5GTQ0YTk6+e3s1OckQv7wLiNMRS0L2XI76u6uyN2ip4f
HljtKusZPljkAjDglW1KF67cwDIbpKhFPrmDgBS+WPtBYJkcZrhiY0Mgq5se8SdMsmrQYV23k71j
SQBQzxeHWE0hTA/Klt0DQVp467cdebCFwMD8wT2zroayu0I5Wt+mkNFSiUizKmcfwEwj5Jf0XwSd
pToeA4lVGwKC/ExIa22vxGiVuoOAwWa5nDoVVLZJe224nQaw2ibHhOMtuPpnZyB2j2iYtDKOKYQ3
wwb15praLfpfbtcqGDhFoI2XYLhJIuLUcdpCENgQMbIq++isa3jPggCs3PAFMZfE7BPOyU5HjeeT
9YliAMrOoS0kKFqUarsrHCdYtRLWquG6YKpTqLW90j+Kt+ajkENKO+ziFlPG0voo9caPsi/TCwKE
UrZGQVjBwhHuMeuqigwY43Muy0dFFpIs6ylJZHHJLXU5UG2Siyc8N6nepVYG1228JIZiXtiySA1M
Qqtmdii2YZ8rIUrpVi/5HQwaCiV8SKl1c1n09mN/XcoyGNRctBSV+RpTIevT+Da39bToqZ0Di3oY
seKR4ImJ2lw/1LLQjmXJLai9WU1ShLvJVoT1o5OY7dpA8r8yqdinVmd+KIAWcAN+bRx9WOQp7eiU
4YTJZdGvyvI/DZi0PKb9MqcvQJnwKmgVTFoGPQ8oiucDQ4lNXJSXvRGHwPbG21KGxVq0HSnthy1c
aMtohf0ySzcm/8fRhvtgri7ZaXiTUJqzoXnMTbNZ+JNSHBTbniWoASc8BDpmcuyTiA9CiBJiH6lH
FlcD0URxyKhpKoJdEiKPsfLzGSA6s9B3mBU1FLy+ZtA4JfXnj9vpv+eK3Az85xb6+jn/r8VbnT/X
r9HPVg7yp7+eL5r4xOlC0+sixJX55t/OF5BljI7pYFXyXTFiMe3/unIw+RNAGgjXEHQQY87R8/V8
MT7BD+N4oWOjP5fmst84X9DI/XC+oEiRMjhCLDCD6YYq//w7P6wLvqp0NTanSuLoS7OHZuywyd1Z
/VQ99bXBWKmtWpbo1sR30YO2Z8p0mqqJb6c4Aag5W716nte6WMIBCmAHsdnoCZl2yDjq0C5LNtJY
zZ0O+amPdahW6JVR5wMK4faW2Fo172gG66DZtKWShtdOi0GjNhFELXLF5iYwB3N8kxVpfyug+ele
CsPrOtQccir1OA7XJYivuUDku51CLrXU7Oy7XOtpNyduhHcleMMRAWo5T57IiWb1lKbKvQRPwIWR
9OWjkVXxo2KW5pZgMjYNWp/6J1vVAmeROnF0nJvK6Zjyz1ngOZHle26hM1xWM4/KsTuqip2d21be
X2WsZdDPJww1IzvvOUp8E2lE5TzplNUzbFO3mBcQKyzyhJyIdKkYP/KVooEvIlI9i7bYD+bPma4w
LgvE1OTepFYm4WkAj2JGqMLokmLn9Ea7MWs+kGYZMbh8bCPWj7SLdN6CCXSYr2jW/dlazXo/9yWn
hgEemzxyOqvVVNbBxlbb+bKp+/jJcPPm0rUbm3m6pXEKIUq+Qbtw7hpNCdlR4d28yJWgh3XdyMMu
8Iuu2iHv6+gfIj1+TFBX34wu3EVKXslQG3I1SrfqB15NcSRqrdLqeNxndiSGN2twgjdXEtvY0vrr
NApBuUWS6tYouKUypbaXiRM1D6GhlfWpUhA2wLP8d/j3x/CPu8g/3bnyqP3JotTgJ7/etRgAQihm
jGfrqPp/rIoRzbKchJjBAlKWvl/vWtYnCUlGefZ1yPfnTcv6BMRBkoEsjbuNvAv+xk2LiJ0fblom
kXBEK1CxYzdgrCj//LubVtNNptknjnJumxkMQ5LvgZlzXFuobglGR0A6kfcsDA8Y56XKGJGVG4qM
AQzgMLXFEiDvbq7Z3CBNjz3VsoqFPkz+sqqcYRk1zcuQjXcYlZ5KtTpOnbFD0e4AQkjrFXmIGGGM
28CtN5nGajNo06vxI6SsMj4jX/d6m/xTmaroIh5dkKpqIkCt79XRfh8F2IJ4KK8zPb6VAPrVnMyU
1QpE0syl+u2AvkVaif2JDUsclCyZCgWrFOsQTak3Q6KQyOgb+Ks6zHKzPURL0y9YVgyMKpf+KJ7K
tFemS2ZbTr8G5D5k6JmatrjpCOMqGa5rAsUTi1XMAu665LrEjTplK3a6NisWY9UT28wgKr7oYkIO
3JxFZoGyqlPj19a23xgxEcuPA25htOfckfWG0DsQ1i6VOF5W1LDX9khEM1X7U5w2RLi6tb6C5IiS
qegPlt80+0rNXyo9JNE0T0Ny+LA4Aaa3MqFfVklAMCE9N6UsXjBCiBObaSgyDnUJEPkhF8UdI6YC
v8VYnKk5eyHFdle5DQ07IFU1Lc4brdlktQQ42fvR9B+YZLPNToxpV2By7XKh7rSOBV/I614Z7agD
0i3ShZrOhsfzuXeCNtr3Ea4HtkMQFDRfIVzOyE6+o96kTooxqrQjPAz2QWRRC5B3qCJEw4qerkik
s6yVNjjHWZ8u1YaVoGoRkBenhcM2Vr0O+unSr2picaFlVoG7VkYdLbF1acb2zpccqB4hrTo3y74N
blonO41uv9FHnWJW7T0B/qwZkBbFZrcDNHFPQvKNXWA4G5w7FroBtM9mO3bBDZmVZ/UQXcPOeYha
bauNbBTjNCzpXojvnMnxHRFGrVWNxR5BtGcWiYgHPvIYkXD8FjNM6muemwKEZAWQDAmVjr52ZrY1
m09oukFyozdvIVvMgX9FNGS5m8w2OKOevo664SVXmlXW3NQd4Xpu5V4GYbwsGdzk5byvLe1OdeNh
GRfxponqLXtRhneU7aAAn7KODFHFZj5Eq7YwqnIZlgECKoUFeDUNz66vFSsVHtdszdDL+xMKsXtd
Hw5FoywLbWRqaL4YpWqR5Bhfz0F4GjRBL0lit6ndpZWqrVR9WlfQ9bwoUc591d3QgiJRZtwHKOyl
93EbG4N/5gYTHIY+PaQpf01zD0PbtYuhznZO0J31bX7gb86rcTQMKOImAAVnSPW1RpgAR5aSZ1ch
ShOkUVbwGEf6KjfRFOIQf5+VZptE/SO4yvXg9qvJ4SkYzlPr5LRTbPAJIFwaWofd0tjWQfkw2XLG
m+EbGASEKb27crQKU+AI26qujYeoq3cDdNdU6X0EI+LSiIOdbRuXOkM8b5r7o9kPTCzNfOPnjBWB
J24J+txETnIf68lZoDa3dl6qixR5fxtKYGh6DJmNJWp3n2Tiuo74LLKy/ywyCZ6vQcDqpzHNul0w
aZ3M5N6mOhQsV7/iS7IvOlJUwxrZlk9Yps2GuEOCkekVjmWRrvtGvSjSAS0b2CpmbYtqUHZiElu1
FusWR3g2D9uhB/I4J2ekGCOqmi/bHu29nVVk7teHseQr64B5yZr0Fsv0U4KwjZZw14IAa0S5Z7K/
o6y965vo2nSaGyY8KcNcf92b4c7unZeEyHstg845Z8XO11nftvk+p2JCTzocwyI5QCl8GlPj2pXy
Ep1CWCsq1YtRqoo+WudleTIRwUe28/5vV0URYaoGzc+va5M1bsjPUfP5Z+UJP/xneaJ/0h0NM6Rq
2hYpS99LrY1Pmir3kxY6bJaRrC6/lidorUE5S7LSnz/1takCHs1ozXSYBP6+jutvIzseHpeAyT/S
f6TyxL+vTkxweU7s1/Npbu8rx190X6vX/5gvJX/Dt6Gg8+EmgDRqW4wl6dk+hobf1T9z6VvlWBra
CcjOgtYeQwg7ndf+N8lrf3ucH5xNhQKotI5M9qyMpLT6bLBfv/uEuYSnoMj/K++yCwi8bfPf/0f/
iWmBd+PbK/mhkgvYk+Eu4ZXoo73oxa3NmkSZmPCc3K7HPA6MsX8su20XXbTow7TojYYvCC704rLN
rwPOwrY6WGawcpDmBAK92vWQhcsRafSvn6km7RO/es/5Yn3/qRqR4rdDLd8LY0UryILrvoODSs72
aWAMi8qVVIF3G8lDxb86VuT9+gnY8gF+fAKaxnxMxelBu/7DJBjyodb2qj2dpj5GTq25dXqWCN1g
m1KKqvRcRrTdDljRvh5hYnXDlZYOFt0YnvJeVWavNisOkRKlM0EbkgDQsvZLM6Tsxn7w1YabnBJr
t6ORxRsjcRE9+Witc3xpeMp3JXWY3ldrrZ0oTqZNOJ96C59ZgJ6vUhYInTY1wq4MYNUcowB8aHzE
tQAsA+dIqgySHGvZ45rUccLhlPFsYrGnuASFfIPAq1pabEzmquZN1DB5dYhGspXMAa4emjhbTIrB
IZEftFZcxvExxqDT53pxm5koywxSmQv3phXWEgXuIpbrFTMKxFJEFckaDtufIkkf8cQusgz/qEsg
/DIJxD8Epn3M4r99QsgS/nrhix8ulyHCKtqOzXxSN8bW381n7b2xcXb1qVloZ+2WJOsVuioPkAwB
Z/uM4KjxUdkl63ajbqwjCSb/EAT+1zbp77cJGrzvv7ICvLqdya9skexwf8FjqYk6W1fql2b6P96O
fvbN/P4i/uGG50TZnIYUVyeFEKGb8bUKvKjzmAMzK/n1RfDhUvn2Fn95Sd9fBD+Oq7hiasON9FNI
c3eRjMtu9BBiDw0jDy84Df/00v56L//j8QzusSS8MsFzf/hIyasdbRty62kApZnPL71y8etX9LMb
IOriPx/gh/eOFoZJUaDrJ9jEUjwyKB7dzj98QP/0ID/cZd3RtYix4UHc/jBX+9a60a2nX7+Onx1J
37+OH26PE2c1TnBTP8kw9zFF4GFdufG5y+D644H+t2fOx4js+KZ4b/+v/M2fi3KqyY5q/99f/7P5
8t/BWyGDvv7yH6uP0K/L7q2ert6aLuVHv1wQ8m/+T//wj1iHm6kkOuz5NYtyxgdtHX1uOV5+jHww
+Fh+XR7ti+eq+5ldWv7on8WR+ukjedLCx/KHDOu7jaaMQ2bYzHzti0Xta3GEXZoajWWninfwyx70
W3EkMCx++WWSMPF7sxt50/l2BUsfGkQCYVlI7Q3Vohz7603JdtRsHMVUnyYFt3+50BFVg04E/7iz
GF2eIsGtMLTDc8usNwwxzUsWF+w6A/XK8MVVUndvBQERi3EMd3HfH0JbW2MoPoOK5Sn9vE9z7czJ
teWs2zABxfgygawn/hMIQ5ed68JZ+4F91oTKupiUS2DEt/aU35tj60HzfCM5bVGTTp9O+S5BTxwq
ilzkGzvTCe/qCU+SUC9J0jnvpmjZu+r5aCN/d62RbmRmKEtCfRTcmoCoFF7RKq2HFzdqjz5SlbY2
nowg3fRtu899a90a7qEX1bkfhudugQIGw1wQluedjnq0AII86vdshrehpp2707RQkuIUazGUWm3V
d+6yauZlqPaPbtRchGF3DIbJ69EliaFbGakFxBDFhfve1K6+yuKh80LYOrPrPPuDja5e3Mdxv1Ma
d9mbDerNGTFCDFNghphYX08N5jR/jE6BaW8TG+tsbN2aTbadp+Yqc9qXXB/PFSc/D/3qrLeyrTl3
+6yetl3VIPEo3+24RM2NzB3/jhGIKzvE14eSbdvapG6KdAB4YCsLbaJp9JNnoxBXbml5IfEgkJvs
U6e0Z4EOuCLodzW4+MZWrmIXfr3q34lsYv5mrCxsZYsqRGCOHg4BklrhOKqOkZMOa2uoxsuUpLJl
EVnPNoE5m7IaN05pdl4wlgwMUC9lw/iC08wNIMIHarVqJneY0Yw4dbyN3Tzcgceu45OY5zFaxMLK
jU1f59HaxUa17MdmZyqFuimqjoWcU14lRVvucwtzYlORXAHcyTiO5twv+0kDNj6ymXbzALu4McdX
uqZvQEBRqbXBNs61BiSD66x4SdjD8R16Wt7BkyhR+rcwZpGck9HvAxNaNtZ0HYmpWhKQRtqGgT57
7trSo4xCAhc0t07dwuO2KNjiFKu0M2HwiN8Hk8ghV9FvFLiphWMsnUmcZt1cizo5r5pkWCYo4shT
eYtmcUTQcq8wY4mPddfiA58EYje2rwvDClZRVlzqBfL7DghL2Tftwmfy69HbJ4hjxEuA0WShYr9Y
lE0FDla45yj7sIqzL4XXNVLpd5nX92G1THTnLSjdp3zSb/FPv/H8kaYVagP61UiXRsnMA10NrOsc
yEWZUGr3pUbYSL0kMenUh9keNvudGKf3zlb3sevsEYkjgFe6FQfCXTTrKzdLq/OJpdU66xHR6Z1i
HYvUv87LECiPmzQrPeyNZSfwrQ5a/kAyF+9ylb0qhVMs1BH+rY3kdB0n485X0k1MoqHnzj26zrBa
pBDEItV+QdXzMrJpXdT/n73zWI4b2bbov7w5OmAyYaYFlGex6EVpgqAoEd4n7Ne/BbW56ms64ka8
wRv0qCNaohFZhTy5z95rTwWvW8c+WDYShhPnh4hOFLyo5o6oJSKWZe7DynxVTeJAJ0R37eQxifqO
ITp5nSOLT66J9yRsisDGVEqc7avWt0FnQsGZQj1oyvCTBazMnzFFLyYl8AIygtVT2CVUC6qgrZ9i
JMtAT+cZhzy/9ykMX+lx79GuQ4fXl7VrMq3ZeN7IWzTJZoDivC2pPO349qyPQjen/RBGIPFQC5OM
wMFYNMckWWy+t+FUu911KrCLUUGP68w6jrF+G7NsK3X9pEZ3AdnneZtEI/DQg/TKYv1xjNRZlvGT
MWM6H1I7KNsUQJ0YrcCetJukdw0AVtlzGwvsVYisQe7UhAHiOCt37dhFsa9VRIaJ6QDGTYf4KBT+
rHwgBqjTyKUveAnmkigRSGk4br15ggN3Xxddic9gyu+hqf92Kfu/Hkb236uVHtr9efj4fz2LIKn8
9SxyeVPf/51Mwwf+MYmYv+iQVtC8HSgsP+BUf0wi5i94wdndOJ6Fu+nn3TccVB3XFXMKN13wVT/t
vonE61QW6fL/SKYhW++CzlqjduY/b767fsSRZM/jVa/u2khsqYcKfvqh3P061PysbvCd/jTqrJcH
dvcMOpJ/IeWl4p9mYpygmdU7NDV2Ij0lzoumw1+578TBCO/GgU3F9q+/3o8A419+xfU7+kkYMlH5
Ezbc/TWtKSxx50h5G1gX+IOqqOqoZqvc06BkfWtnFD139s5OsWY3IZ1eW1UoZ5tGpf1lQnU6gtnj
7YR3NTC6ytpYbnwjK9zpLpH+utW/DVr24U3aawmwvSLRSE2OSDdpRDEfvDr2Q2bMzoPq0w0R6+gg
AKB3c57sJF43qFNJtQ/niX6oKUk3TouttMTmu6F76VEbyQP1yYPLdAdVgdB3MtxoTchvKQWiErqr
XqwCMVPpRd9cGHLbCDXrUFXG3RCjYlATVeorWTWNzgB0Nr2lPbf4hknTfBkWazWdHQZn6bYGsZZE
Ybeu3VOMRYpa8WrcaXXb7UF0XigWWh4dhTkB1Z5t/GOFBfdgo7WkRtkcGsw46n75Ib70RTtV1xxN
QbFSucXbhJuAPtGg6K0Grdm9Id5+AWN6w/LoOGUjrLSQhrXsdl7sT0bu4Zhm0w2mz9q1ZvIupP6N
sLTcjlJcplqcQkJqQ1bfKPA1fT8fSejd6Uvjl2GDCWC+GefppncpLldLofuRHM/doH9qenMrBAvC
olyeCX1GOAjn7Dbpy7syU/veHW+zJTvpFZ66qbbJ7sPJAQvkknMbMh3fd77tUue5UTPrI02PdmZR
98e+HxWmWJOgRdLMN2Tk6VtzzXNecLyPVxG7D13fAmWMc7WJY/pH6uIU5sldX2qP41DuYpT/DUmt
LXAFNH31zYlR4g07pSB73Hp90dP9YQTkblF05nsy59gD0CDtUezHdtjpIgyU7VK7psMjrR6hKtwV
IYa0cWLHpPJseJjm+MEOjWNL4b1bu68iK/3Jke1TrWtoB0n7UbJHLUIPxy/7uAW1CrKKb2TDdx3e
UNnbQSOM1OcJdjSLFNSiBZpAG2FzRndxMlyETA+NLPaTLrcwiInGhueuqw4trsluUZDotFvP8wKT
3QYPivuZzSKrUyY+Cztf41kvApCkyTuEFAFL11Lm8yEjmnts83JXMxAQItNOWbc84cSIN3OumKKq
xxQCMaM7L+sQzaN3zTevT9+APVwq8EqbKR0zn13QjHt/LHwZDu7hx2Pm70PPRNT4z4fe7Vv99q+X
9vVjfj7vbGoqhcPjXnhgFf/hJTZ/wXrIk4frtfPDFfzHWsL9BQsYEDPu5KwfbIeP+v3mDdxRYhzD
gUzNNpxF97+6ev9YPPzp6u2w8jMFPZ0e7xw2Mn8+HdqmKzBBmsu1rju2WaYiKOlhQa3l/GykDc88
912MRhOEdf9V70NgFzwx9EmANgxz8q7as0cLni7ni1xqNFYFSjjkLa5HydWGgDyH7h2oPnh+Bg+e
ZtT32eRdRkveVEW1dyPv0KfmFZ2aqIK9ZCh3axrCHh9tWfVciI3vml2euQfVfjaI6OLYGRgwhv6N
28jtbBJZhO2xp6LtqMuRcj7TfXFq664z86v0VAJEt6TPjJUtcNaZst6MI0J697S/sivI/FISmJ0l
nJoor2iVVeL7WEUp1Ma+prKdrzPLYb9o7TpNR75mG4dCy/RdNBltwDETbxW4QeWbUX3qdWI7Zs2z
ozcdL6DQ209yufOa/GtEY7Ga+da5Gu17Nij09Yh0z2J02jl6vKvG7ABzZztxPDP8x0ErcuNoztXZ
0vPkZMAhD8vZ891Wp6AzgwCeVcQ9R/uxMRIbnFWrfA1KLneXVlzdnONuJBRaLZwisuMBwnqME97y
LUrB6TcPvyDCP6WayzWDc1LM4XfWVuWmEJMP+rAIOkmprFkBpdGEOFRxiEycFfoTe2lu85M8FiVs
bRHVD2AuDhOYBD+WGfAurHE+gbjwaI8DbcY67i9qw3ZJCZJgiZOZ0YJEg4yy99YoS39o8IFQLGk+
eA0iyyIzMF9wbyHSx4GmDHbFo+5lqC9mccnA6iIJaZLrE7Vto+Zmx9qVweQIFhpCWBvbdNK9qmTe
HFpq5cJHF1T5ybDjb5FW1ayEMu+01DHegbw9tk301Ol4ZXVlHoRWK79QNmGhXm4HFxP5UFbn0m0v
XVd8VFPZUgg7nvVpeK07Vt/E2F96syHTZXmWP4T1K9wWfet0y01fTjdFwdHRuikwaxeaPGZfNcoL
MW7eEtqLGg2uaONywP7Idx2JK2hNDl9jJxMC/Z3IEAaybg9r4QZ0J1dOT31hyXcd9OzZm7hjFgB5
IrMh244VnemjSbZtSidxEpdvnp5d4khDdI3iLZ6tS5l7ByXBoI6O9o2E0DMbNcpVtIioial/s5L6
BfNUoMG22bSuabwNrdxqhvZ5EACARsW+ZuJyacx2dm9n4ouqh3NHWSAT03lmdlwM8tRoBJuuktep
qswLxY/7XG/ybe3YZ2uia72FZqeZ8QOl3/0mS+YvpvOUaVsxu+c6QUAZkNPDOGn9staekgFokspy
pglHI/Lefq419ZDafUhOfbmLsTj5NjlDPBlBkaRbTbMPS0fMBo9oA66w83wC35s89i6O57Hdz64J
Kale8Fs3x+48OFO0z4rli2cPaoeX37ddjm68T7kGY5aiwpt+XI5enXw1JSaI0DACRAVvUyfpo8rl
V69FqegnlImycV4IMJW+UYS8iSnr3Fix2tJtD1zaW3LyFSVWgdu/T1wuR0jA7G/+84mLz5r2DT9/
+7chHj70j4PX+AU8KxQ1OKDwkdekzk8XTQyJgkoNSTrZXK0Cv0vezi/Ysu117f9rzhkN/feD1/7F
ZdIm80PCGYc0MObf1f/frn0sDv7jekz809bqh+bNI1cn+SwlX239Jn6+ljlGZOR5K6ur6UIABsZh
+sa4SjPkczfmFBnU2ma7HI9aWZQm7JUy/lzgXyvwmbjYXyp8bQ6u21Rq10UjBIgC6uepU93kqxmO
YfZlxh3nerUeuB1asavRgICDzm5DjltFf/EPY12VOpRfWPjEQHTW+jZnXoFWJUd9a0z6LU/sAcuN
GPZxGOd+JrkGlLqKOc4pvU9beAgRiRGiI0tYYYED4nHo7ZEuCoiQEzo7jHWiiDZpwCBeuSvDoD8P
pIWcdN6OJp2qyhPkZ3SEI8Aq7zb/Tr9eWVmNF4JoHPIfahvL9DJ99xLU0DkEm9AXgMzpLjgy5YfH
vGYWZ4ewrUpGAXIn+VlKbbwJkxhn4lDQ1dmmz0lTwJzOAUxyabxWRA7lmpccF/xFdv/UJg0Bzax5
BpFzrRt8fnjcbgREr53VhKtKVvZBqVHbOwpUZa/lZ5o1/aWuqRHJ5orCjoEO+JbCkNIEUjKw61pN
ACPr54XyaMfiqJiz5NuABByVy+1iFgMSLodWn7avucJT2Ffrk5FiBKBzBG8hVFPg6GsLm4gqw0LQ
VbDoapVaQW7ax1TZ91k40wsCKCEA4bVtROHuRq16b0wTJ7ze3ZoW6eeG4g294ERKrggBZ8taINSI
7twMvGbCvrtrEltt3IwfjT7M/VZ4FUwTQEFpv2+IIDkyZlfhgV1thrQ6ZAa1xLW2b1ONdWvVXZaM
vJiEacHVw34wbfPiUSy+bWcq3EQhoKVmgDOsakk2uVDsZTOdOo8x3HZRh018indDWl4iEX6Zm2He
5Zq7jzrLDqTSX0TTfEktiiyMnIBQo2yyXdF9NBo3xrSuAiZ0au9ba484ZIeOn2FnH6OGJQBrohvV
d9eEvmjtvqKVZvk+T3BaIZAFXla/ENNuiL1zkK3idklh+ilV3ucqw+4m228u1Na2gUW9RDsUEJyK
48lTZMd081zl8W1SVacp7W7LKr8byixj+RL33IB7SLmh/FhsrUf7GC1BXQGdw2Rnh+XRtJdL1KAl
GHky7qJVXxgtm68r9sjX+3FVIGakiBFJopWfu1WhKHrvueRuzMR6bk3gO4WSiKsQxOrlrl9MNgBo
sbPs73nYodeqwOTI2sAi4tWHRGJ16oYgSoUVUZ0rRBTHcPxwjh6XGrq5veos8aq4mC1nmCgAxHiR
geSwKjMWEg2cbcA1q2pjrvpNtSo5Ws8rp6xZYZSrzlMg+MBLeXVE+VEhBBWrIgTn/GUpqV4HIUtA
GNUIGh+FAm3obFgFfXXJQtxw17gkk8tjQtfvigprcu80xpXA7XeL2XirL+P3vtOWTWFPD8TN6qNV
Dl+Mqtg1Qn+dE+fi5s2OOvM4KNCofFd0gphv9KkkfsD2gluzOyNbV4Fet3dekp91LL/LKhzIJryl
5CMJoNkc4D55J0eTzy7rIb7y4IPMfDJ0ae5jWRHabowa9286bRvNvEy8De6cyntAAjoAl0mwCdPQ
7MC8M+uUYrCKHgrpqIB/a8IY0xF0S5q3uCEqqGaIjHaeb4l4fETee0LoslPWQ8bPhHPA4CYBB07l
7l2hzJ0eU+QQDvSTI9KDrVzgBo5Duidpx8YuzdHyFBMdn851syaQEva8jG5jHJwkL5LhLDSDxGVk
zAdJz/xU4hAtavI3VWIEvUvtzwSWBZUoOk7V5IcaQQvrHAPZIKXifMGvnBx5HG+iCQU+EtNOi6lq
ScI97oGW3aTdbyfWUxsv6t4zk7la66x9Kx0yLU1DjR6rAtZqj72cboTepT4ww33PJC2z+nas6vxY
G+M1UtODPldbLbTmHcGkc9V4B6bP8Sle5n439ub3zGNF1DnOfRE76XZZndl/z1O/zlNs2/9inorf
OvVvNAzBR/00ShGGtileJA8GThh5449RCtg6+39P8Ce0K68NFb+NUsKAVSsYbaCMCMR7nU/42ygF
FQa/tWWvKgYrgP/SPiD/1WMFC5fPAsRS4laAvPfnUcpcv3idNzk6g5OC9GRrZojxhdAFd65Gu9Yx
KjIv5AtNODBWZwZ9QHJk2liwDpP7nWfixZPeE3Jg7pcG/jDYB/WmixZ809bBzfudrcItFITDyKFV
cP/HkwPjyzI+d5IupAQpDlTrtpt4jzvpZVb9d4eo58hCWlGDs5mN+tJM4p3c3z6avWRjdVXma0nR
H9K6PbSed+7SCKq73C0mlxmrjQGHDjc2djaHtcBoxr0/tyLBYme+5dg7TV1/ZdMvd04Ia7duinnf
GnlESNiNYTB0J9wLMKyg6ilTO3hWus3i9DEc2AljTR+3Qz3dlwQ/Nh3lXaNd6IeCb+5sOVgmFndc
Aq00yo1WOFfPyr9BOqn3s4kXKYl4mFNY9QQ57iOvIYnrJcSnsksvmQBfn0RmBiikzv24dnD0TdUM
WMOlSG0m+63KIBrzZ45X7VQ0JQ+g6j7mIrUpXe9kDPgqHKkuXmlSr9PvGYrv2QVo234hNTMXI/s8
F+YIaATNLO+nmElZuN7nNDUe4AVquCwrh8eWVfizbT0tRfI5K5tgzDlVcLUTHEiSGybxc9roH4Tf
7UO6TPjak37eArYh5Rda972KP8Up33/EXReLycqbqgUzbYV2U1qCBANukzTDJpEHI1BfkXQJD2GD
CTTh6+gYLefQK+lIil8pynuYWiSVyq0RlK1+H0WgV5pSzRs1e0RaID74OZQcnsqZ2BdVf60q95M0
Qn7vHcOgMTUbvag/0wp3A8P/pk285KhFhktzCEeXMIGZeN1sggq01CZV9T60qlsodTcNYcJjrrHp
jLrkVk+rz03aJABNCbr0SRtMokQ75xsdBzIpRj4cGkO/M83Or+VYMOSF5zbqj11ZP/fasK+6Egd8
tSOu5LHeTcAud4O3FfbIDJHHXDL04XVpku/dgOkmnfZjQhMbFLkcRG11BR/3Sc7OXcWaxs+84dHN
8p3STw2NmcMl1JLdrHvHaCqvhizvzCE85HK5ar2NF2Um7pIrJgNQ9aj+C6MuVyY7BaWhFUno2xqZ
aciY/Mj5pGUha9+FGcCcjmBf6MMHkeuMmjiLOPuqmlvQ0CeWzWPl4kmZeqqMmpQ52PP2RimPsdHI
YCHGwdHFSmXjlt6014BtbuVkhXSIxePO01wmJDJT0RSrUxVmKT4C8a2XSuwgP3+rrOGVgOs7cax0
W3UkHyJrvJtpd2LNYLOlV7aidNgcLF/2pdmezShXZ549K7ap5mSfGowbJZVWsmTRsLP62pbPaD+u
u49hce57MI+8l5oSjooztcvW7VEkt24Jh3LTDGjLBxxcc71pLbkktwRP5v7R0wtDPY5eq1nnfuop
TpfEm14hRpnDNVP1oYqYP+qUDU8lMrFLEklDGpQYo40eOjJmvsqmkxBlv2u1FueMZp+lMxE4c4WA
KWO/N0CWWBjZyFOpeM00CFTxACLS0Bf7ZFW8mLMSKAN/nYIaWX2pQ/FG6ssMlIuj11pA53kxsxcZ
MAbm0dzoOtSiVrWTP2fTZYZ8NyUe9cm1dhFle6+F/blwqy9MwCRoLH+ccBd0XFwZjiXtetZ0iuej
1EeUGKd+SzLaZtZcoDKByHDNp5BejY+6md6GnXejpfPnPDY/FkPns0TyIxsK7AtwL5cTTIE0ELIF
YNQ+ZOslXY91HGcBvV557Fz0LNcDb6pWjvkxJo/iTxrl0g2JEUTJ4tZ2sgU0hhdtddowkS7MYHTk
wqKuvyz6zFYTGDQ/hfrglNw6ugrusAVlGp5CHThe4mwXJnLQndqTyoJFRp/MliydK1LK6LUsDdzM
G/nieD28zDtYi4f5ZspdFDKgpKPLKrKY6hHY4HhTu8rcuC7um8hwrslYXpj1KNJBXvRKYgNFd4h6
9WZ747yFGvU451qzJepMVZ3HAUJk6TnsIWD1ADnQIU6pBvrS6ZfXvvHiHe86wWtgqTakyzW/rdT3
zvOeeUDv9Bp/ehGvJFrrQJP0czOg9CbO5CMKHpvRuhvwTHmy+ppw0G0MR78VujrT1xL6Azd9zH9G
60u9PUbUUvLUHaMNWVCqRbLs6EkIH0NU+iBWm30nk9FPRHfNkp5mEmdXmuplKLAJZU3si97kBdiL
aZvpVEzphttwJwypEI74U4fxHsTFQFmFZuxtbj1HxQ/U7+L8qtddunEddQKN2m4am1tDNz3nROW2
c8UhyCNrpyVLtNdG45yXnu3Po4O4wjvtTDfpnW0gqGodbkVV6sVxMSGDDbCENjMqA6WD1lGI5C7u
U6wBEHaxDCLKJyEPODkelsLkLSHdO7MdFsxh+HnsanrHzv/Jks21K533RVjvk63v6g4AWha9Almy
QcEmx7CoX/XKPViifRxZzFopWFBzznw9j89mO75F0Cd6x/zuZcuJdcX9AlF24yn9sRTrQ1yTGOja
+O+x+9fQtfhr5y5c6uLfjd0/m3b/suNIgizhFPt9gP597LZYHRKBdj30y1VaXL+N3xVM9xdMvthr
CCJBndPt/6rijdOCsfofq8MfPnhvnfyJ6risKn/0lv9kLEHSyetMT/WraUnCtdJFVbIsu39v0347
iAw8ySqIk5HhLWl4L6EaYmDGyOb4Pb6qIn+kltFDpTKDXikkdrT2XtOPHdo7aeOIcApyfNIMQbhq
9JllfBlX1b5b9fuiaY7NwE5uSa6W0o4FQj/Wro2xKv9swVF2YLtunM49lKwHllELHNYFarQrv2KB
gBUy9NFgHgjLYJdlx0CVES5ezQAtqz1p6x6CphmWXqwmotA+5+lrzs5iXJcXqUwfunWdwfoU1V+e
i3XRkS7lfl5XH3otKEpiGaKzFVnYjgxlf3a78FvtjecEm725rlHEulCJyvAyriuWyNQ+EyXaYpkw
3tqZqXlkH0PBw0vCfibiNrEZa6vxEQ6eJ3Y4/brMobfnsNbyzOuax+DfELL3SZb6rVsXQUNIZwHZ
9sKP1zVRyb4oXBdHrVs8zzzqcTt9KdbVUsaOaXKbvfqxdCqKlSdt7Fz2URCKrtm6oJJsqvp1ZTUv
HtUM3q5nlzUO8V5fl1sdW65yXXcN7L1c9l/jugijqeE1iSWrsXVJRnPAS7OuzbJMvUr2aKNNsket
mzU2bDRsRTcgrgkHwBEq2cIx/YKYZi/XhXhtOjZ1Jhs7fV3d8fT1TqMNUx+4xrcych6jcN7DeZy2
KEgn2pd++Hu+T6JewTcYmtQn/t+hrFAjxOCiYZlJR2Ja3XFvyW+8qXiybyqDNgPP4YnK+ykA60hF
cN99QLE6pE67twcOBtJR0Y6/eDH6ZltXPUNANlAVpXWPxtDuU5l9FrOBfgb3gr0klzo4A6qqAKGU
BUG0mIxxl+2EolJrAc0xrw5oAWgPHFYLdivvIL+FtPrO1t6MqnNG5ULuYYPJvPZeZOMpjVXqxy0V
9B4/exGe1ULGWGNJNr/3UdV+iku1gkK8woUvVDoPZg2+Mdq4baHd63C9HkDd8ZynU4Pdur7LtBjC
qBl+QFD+HkpPB3/JHVhvnJNTTi+d3X5VWQ9ns6runcjba3F2b6DauNRs+Nzwg3qCWGI5Q0ChYLtz
pbo1rFzwj6u3jYOZ25rSQ6UmsaXZZaQR2qEqZujgYyVFoHC4W/b8Ntlm0EzTFzd0WVbOz/yi442b
asc50W7KJt7HmXYs0aTtdb+c5oEHNjwt5l3mQq+c8H7NYjlZtfpkNC01GTMNY8W0Gwo34sqX3jgJ
3VsqMzfe5OxH7glFXfALeVGUA85Tv8Py5A/ElonzRcynTjAXXRAn3iv9a2jubXwzwMNBAky83VTY
mGkzdLNGpxnde++wH+mEu+fJwVtPJzT25Ivo0+PYWmTLTDiV5jjyu5UY0ggtdu173w7XdHKDLhVP
ehIxms7tzZI5NtzEcivoUd7o3OLpNfZ2RqY/yj783lCHAn+/OCqQLTjfhwPMtMnXGjxlNHCEOjp2
jM81TaS7celujEV/GZ3yPGmYeAt6fkXkfs4pLcMjdQB5gA6i7z2nv+M68kk362OIuGcTJtxmac7z
byrpO7erB6sH9Z4s7VXosMai9LA6hutkuA3t5Ylxf9OY6j40+1PbDBtAAgBmQYgti7mz7XZracaR
K8EQANZfeApbO0+qs14uO7cEYubNXNpr/WsediYzef+FImUKkAmjUFkS3RmrWzyK7o3FvfHcefCX
hYuivYwn3c58JtnYz+oI0pyWrIkC2UMsne6sXANiP9+ZnvsBB5MLYY0/Xm271tW40sD5GTV1nVV9
pxz3eUr62C8kEYCpkB4Vo2b+mgESDqJ6+EjpfYsn/SXvS7Yt1U3sYSXr2+QB2R3doP2Q0Yz1zqhv
42naNXTKZYa5FoFkLzyBt10p71stxJSx9tDZ7aepmc5kUdGW+sLxoQ358NjOJk7teJLXCI+ZUOse
iJa7sPHwARhhQwQecGb2AgR0zAIDXWanLdTiuZO7zfXkiCrDrmitzZvozxPkXoJ5qKago8rGoxza
aCnbY1yIgoj+Pa6K1L5YzYdDdh76UHZRCZv2Ht9lEFfJp4oeP2oEH9DCxs1Qic1E0x9ExADLI/r4
fO3siaGV51frEPIvZfk80RZIsfFTnqA5j2uPYM76xcVFO6wVg2Jx8eJROpj31A+2axGhXCsJxY9y
wh89hYWxdhb+JGP+tnH92Wi7mq5+Gk9YsBIDx0VsUuEBNNkko/SnBWvXYEOegQpdjcdi8yp3w13j
s0bwvbenh+5SnZJt5atDciP3YxAfql18koQuLn93GP/PrwOuZB78z7oy61KQQvO/muPWD/tDWDbB
g2N/47a/wjT/xBS3fmG4lT/AQGtC/B+qMnY4z2G4BYDNwUg48/fx1vuF/6+DADIQOfX/0hkHu+uf
Xz8Eqj3GZNPjP3wrawz0p/EWxWSyG+xxd6VRC3HpzJ5t7rwWqWBknkfT4/I/gJEkkfDOIvXLUlEI
wNP2kVILNCbn6zxgDqv76NCyyG7qpASvTH95L5xbXdEaoqVkhKqamFJYeQM94nO8M2uOF9gmt5Qs
0Rc5xMpPw+razeqbthrfpDd+E7VWbWPaMXqPx3jlJudJEJy2vPSi1c1dq1cyqGJrIXxh0wIS8mfO
3BJcYdRr+/brQAHjUmTzXjfdr9pk7OJRGVi6ooPjKNqyMkSaDEVNNuNnzFPPuZpzP82MR0uq14jb
x56iT3dvMOtfo4S1DZKqIhSStVtjjt6gE1bcvhmLXIaWhFxutd4fuc8/YoNuNvQv30+mfip0+V0o
Gte5enY0zIv1LtpqmJa4nLae4m97h0JvX3sur9WElFeu11mutV761RpZ6HHTRVh4b83u2i7JJ8lN
OBNuEXBp4nIs7TvcbSxEuTcXcQJzWpFFXrQ+oh0qeQQCfNvX2u3y49qtQ8Ce16u4bNzimBpds5Hr
RX3UxZ0mx/zcrIxxqVEwisx2TmNWC8DL7V0TAUVpep0GtunZ7rSTOTLWeugDboXupXvFtZ4FAe+s
IfVdl+Ye0WLvrgJDu548NVXG+8yJ2yBdhQh7CKetXMUJFvUIEbMJ62V8CdEvcnQMW++JJpREDjWv
2bcouJNpgjVF/TBx1G2mVRDBVUbHCRpJoUlsVyYlmbzRQn8EtgRy8DZepZVJtV9TrX0gjnTHneYY
pUwTtpnuBapMoSjiMqZyky32s0obLnLRS4eOY6+CTraYSDuryDOsco+L7lOmIHkisz7RSvNJW6Wh
vBuftVUs4kNB8a0CkrUqSZoJYcm0sY0Y1UfRYXROqvrCg/qaCWJdap5QppCoelBE22lVrZwRxp6W
ti5ooAQyE+LWqHqkcaud3lRYp4He1exsVzXMytJPfRY4efJsKSPnFYhuxnstEKuS5ipH7cuOHBr0
+vowGWboWyCOKMxBTNQw5qeQoRfkOXAK8XYumyVwkO6StSEJTq5Nffaq6yHwhQh92dTo62vtUVgn
bf7I9Kag/qJ9qJxua61qYRzTZwOdisjrBx5gTmlHfLSL/tlDa9TH/LaeZxwBiJD4wuOtPeMcm4vm
Ie67t1zAk0jmIxjAk+g9jtsfoubExt1lm9y684fZtV8irT+PlbrP0UMVJRzYLFWwoJRaHt4LipAo
hV1l1LTHud+v0mqr1Ee91grl02gGNCi9JU37Bc2AqtmKxZa5irTT6NonBSwbhIjmYivCSGR4DcBH
aAEDOq9i94c330wCHsjnbhWDo67vd/EynNQqFJsoxnY8vTGPchVaxWTVdJgBV4G5E83BLvDSc0n2
VTw9Kgk2nx6jbT7FI57ilYtUypY3XcVbwrUvecsdvprC2yq38Cj04eQ7WvRIQ8G1qr1HL6QEbprp
YECqZ5bJH8K6vo0giewi5eav7UjTTjiSGKHRiwXR+saW6Sc4m2pjD2O247FK0NaMv05lxX1IJJhO
yxMP9IdZVCxG8BYRtevvAdjTP0VT68Decx8zvPtDZ+Fmtaun0C1PcWgLP2tyssTDfSJFCY0SNGZi
YZmtWmNLlSMfOwyP0k7dw1L2X3H0INjWLb0UpRn7dtpoWGi1D0+wflNxm+xdT7sv5+qrbfHebnLH
xaPhaj7BjWgtcipv9QZSels1r+AvVwkZlbiYJ5i3YDU2VKzQSMQzW9alvktxKu9yVX3tPUa9mhfS
GFKWpyJauPiVbzjuWn+0LAhmE8EOLOP8TIfEPrIyhBUpgG6Q5+RNA2KjF8NzPGf3I2eir1JSkYlE
GpWOjGBOzbzcXOi0fbrKpTlI4lpbiJMKtqMUFmGLciih1EdWeRkpYuAhazOXrOQdiLvvE94IPLDp
q82SazO2xBLtvrzBKt/A91sunP/gMp3yoBvGUeV164vZ7LcZ6OVXAg/5sVuaZ8vkjQ91/ZNGqFUl
6tvY5PQ3ps8c9jrdWWzGOP+PXRJduSE+wZU6WBqNM6CpJvLGWLFmMR5CaW2ccqZzbeACi0RDKZDj
vCeUUAf0fEZ+U9XLbq7cByMsmq2UMdnDZSq3dQ2MdMj78Ki385ut8WJQ8WDuEGyeppItoBtqpySK
3ujgCSIu4sQ0aoLDzNylU99VGXGOytMjbLjyvYa+tiNZ+1n8L3vn1dtGlqbhv9LY+xIqh4sdYJmV
sy37pkBLcuWc69fvcxRsBdqebgpYLjAcoHvasiocnvCFN8gQRMPCPJMb81Omm0s3j/vV6GnfQ7mz
2GMJylW19Od2n/oL04pFwocLmpwNTL9QqdHLGZxJMSpfzKo9AXsXzKErJZMSs7SZP6CFHFpw2k0p
XMvYtUHzpOwRuCHQLwzH2pihrsvlMML9bTQDDrIcrUIAHNPAhioLkJr2puqm0ywscXxy7DtwyHSk
bK9cAHyTp1nStrNMhl0a0RkZJPMzabqCVjW6qEkhXflld00/PJukgTPNuhgpawXkSWPXNBwz/B90
/7I2YUBDMthvYMhOE9m5piWFLyeSg4CdhJe3BDOZuv1Uo3DYe1I8A4G2LxE5CXlYmQyz+oa3N9rP
nOeMFkcIxB0TSLnoYHaAg6Tc/G7KFAI1m0MgAQ8UOdF3S+CM1Fi9bYfy0OEknwyWcVvhC4IcLNqF
ngJKX0sBTLb6tDejz16SwJ7tS3VqN+Y0lBJqid9k2zsiMIDwoONkpTThQS5UAvImDE/UAOWxouRn
dvTFQ4EWQnp4peAOO8kb6cLCHh7Rt2xfd7rPPTEXQgQjgkd5ls6LWvOmwMBAjEUFr6OjOGB3JUI3
mX5oF9mZbQ+i2IcRHevuO0h5yldUVOe09Bdy29zkLUvXL5Xz2EvLKXPhWDODWkjUlRPQcZd0zgy4
T5g/gXFmny7T414vIeKa+oFi17eUZCiHBihc9T57UCNfj1AX+iG+Qv49mXUVW6olf2tFv9kmUaS5
gIpAFjdHeVUuUrm3J/IAcRzIKjhuM7x3BIW/NWGj9On9mJQHowM5BBu2fVVNbwK0CWorvM5bUFUV
UZ4VsfVhjIisgYPjRkZ5d1Y01lLuy++mT0hnZT3KvsR8bQgfhYpuY6X7LsYS0InXiMV/C+sGs+/i
ABFHZeZRQ4Jcz0mpFWgOWRe9r8x7Ax8wt8gu+8pZIXVO10maFXKINYc2HQKFppSGxjdOP7DbjyAA
7jdBPo0NuYV6HCp4lnmWGp3H6WjeDMgQ2CeFRLngPDaA1M8GAbsycungIfX6DzvL+C226aph7iTp
/YYk9AW6CZdPAW5C+0RVKGQInNIPdJOMAaimYM+ukqY62k90E20WnfyTw1PF1ESDtPwzD0U4jj8A
h4RsHCckyO43wPDfAcVNQ9Qp3rRZZBnFbwX+GJh14UbxMg9VWoPabZYkpyM2tpqClXSLc1CPV9+Y
htmiNQjE8bg61oULLvK9K7lRlkFen/oNVVNAs/D5gfrg04mNblfl66jRv7gVWO60Pu5H5cjDdnf0
YcFEwonXt7wvkHLP6UlGcxOzXhpJ5lR/8O/FxnY6KmRDiXD3jSP8s2zh+Jth/ds0Dx7A4ECFK7DD
yTUZ6UhAJsON2FjgDXfmE83nwlE4d8KbTngMZ5gN2wR/M7UBnhMJJ2KANlhH401sgKxAPgK/4kA4
F9PcPaqxMtawNCa6vqfke4yIhCgdXnUUvBBU9ZYZZsimMaJviz2ygU1yLPySHd+41jBQRhD8a+eb
i6otcSZVCCo6xz5DfR+SKoh5TJjDLlzkkuKyCMFZhlaMGkkpfXYEHj0bc2hu4ZFfYvElrAk04fMM
QxOsg/B+xvY4WUih87W3kjMDe2gddNNJXpyDR18kHLODpZxaBq0Trb8YcJLAegcgGFU6TQFOH0s3
re5+BoS1MBvSGwcp1pUWJ9+wf73OhXt1gkXFROnDk6Fl6ND/PZd7l7g0wvW60PfNQdhg18IRG7h0
e+Jhku3Sg4EohG/20LSXPqYc/P9gQewTz2pMthsewy0QFomE/7beZUsjkBkbW5lyRIMP53sIQ4mI
Q/h3Z8LJGwmOi8AGOtK5d3qR06AzzSs9My8khISmUm0eOcIXvBEO4X5O4h+U/oVE78kA5AxdnNi7
L8IrtPlucS+ZpW4CpDO6C9Pyk+dQWsZbl8CQl1rlwqecUj+ac1nvTUGmLTQd7Gxg0bnLggg+bDMb
UfUzxoheSLuKVGx60qYHtABGyzaMfKabNNlkK7/JcPxy6FwIwVfMkoS7OtAuGLa9Avm2KqG5gTCc
jD1HJJrn+THw1usCq3Z4j0TcMkdgFtAcBKtsQ+BOMZjF5F2Gr3wEcosWQnUTYAMP7f8CFl4wtYRD
vKTgFZ8I1/hU+Mc7A2ceyOCvOdbyNhbzmtF5cA/HE4iVd24r4UDaGmje2BcN9vSdBsBAcd19K5Iw
nWLSw5C0F7hximyQ0o/qRRWVX9jZYYHAjDQOa4gceE9VEiE4IzqppfKgbqWZHCFBPNBrUmI4AEh4
L9FASeZDdIHvtEJrBtzEuJaiYV235pXXt1dRDDy4t8+QUII67I1kCirxHZKHnwabOkodW3N/rBf+
0JoHFNW7Sa5AxaQtSVYiDWu+1+FAr4x5luegQSiwzVTsONW+Oo5l6biXMetEhSad4zS7hhiwGvLa
mGYmsHLZCujodHjFDyVBuFp0l4mFC2hR4V7pqp4zVTXSrE64hXYNM5A//64KJ9HBiN0Jpm1YmcfS
BVWZ+0r4jupmEhB5WNc5lqSV8CZVMSnNc/nUQlK7CsmVUGrW52mH8LGphAvUlssjF7PTHjNxcOX4
n2LORzlEeKI2mKPqwiWVbBk4Y4BzatsSsCF8uXJBx60y7FULEzEDh62R+HpRIMMy9X39eKz90wp4
IkmSIJ1i19qFSQesOjsrMHINS/0qH9krM+VS8Qp1mo0oNMuZtfYgl+aYwaq83KwLZDidcnON+rEy
xXFHGOlRayqFn2xUuV9aDGZLjGZ94TjrxdIKSHoj9J7wIcSWNhf+tCVGtWggwPSh/jbthIstHm3f
CNrZKtANwuaWjW4JGgbYPwa4SOV8itT6c1mgEhRHzWddeOUqaqdQAVAxGKlw0g0ePHV90G6Zh88u
Wkf7ZRVepqa2HHOUs9xI+dJFgLMcvHqNB9Neh7aclpuIVKufWvO8qw5G96ajGuhr51SVJpTxPhE2
XwcYAONfVC8RpT5Rc6qfuXAJlkPzXmGjnyvoTJKosrSFp7Ak3IUt4TMcC8fhQNdn+MAdVXl80Trq
yurxJu6hoo6YFSP2dOgL92LY9Z+tmpqHXNQHRX3SmoA0DTQjPFpRKEtgPC+MkNWiRAGgDD4reCRD
4QqPKB0pCxjCx44wUoZAEy0QEQ8nIyXSSSUMlw2clzscmA0qp9PKxIoS4WCPggpC8jBP++wewUT/
uEtrnOaI3w3rc5iBdy1pzsAfKMbhRKHaMPUrvmcLeYiVZ9fzAOxjxv514NYjbQ6tBGY5SuPKrWp9
H4XlE/qotr0GKjgsxx6CmZ/bwosQAoRTeIvEUI7V3NhnNzowXaaOrVMthYo7k0pd+4RvMDtEW1BQ
rKQVYfWJrlfeKvXle22Q7yGQfOPIAdvs96tBJhm2LbIsmVfnGStNyWZRH9/2QUS5zfOXqhzS4nPp
RaeeeeP3SbsclDqcd4U/L5ATIWsd6T9Kor1vwiWdxfk38KGK7l6Ay1pJUqcidWCdajk4uaBJlCmA
u2uGn1Ncie+hZhy0+JsvcjS+yspchnaFCY9mpYu0lyPA03JOj5oOqVJ0N2kNIbWPLw19mJmxcY3Q
/tlQhFSDxmi/081FGUDqYZ1QE+sXSp2jqK7fsrme1U6XTmOfKRCYxQUC/As2OIzcdIG7U2AD+RCv
rBGwgQnGzgmTUwum2ASPa7SnnGiYl33NfOi8eOabI2aJJproPQpUualX8EbU9VhRbYy7bmmR4EwU
2zwhyL0py/yot2KL/FmaKwF2hp39haOFQpV6Qev1kJW7smD4o4PiX+cQXACaxsedwlEbKUeBWx+6
cfbZyJUbeIXCn9D6XKn9cYZYHfp0DuVxlH2RQfU+JYMMl1WK98fgoNTLYwpNi7xTqeUE9rlv5JzR
knnd5O3x2OP7mAbfYt04wPk65msfjkDUN6uhHEgce/M4UWxgxgkboQRgwQio+hn6KsqwJZPHw6bU
NIRJAA6ZSJ6EXZKcabSyMVCwpYnUgQvFchIqSQP7v9NVyvNJOmAMbemg98tVpauU0eXwm9URw9h9
c2bl0E+cEutWz6mqo6RAeqbQOtA7FgagnruMYldaOuTUxJxuzeIyYnvUr8xaOjADK1mafrbvEG3h
GZNrIUYzrWMGk/+kYw9UE5G7/Lol+AUo6IZUjN/50Q9U9gxZpqmnOAoINpHd/UjFaBWqQvACqodQ
y4Dj8czZtdHwRkjJEn1eCFmvEW8aNSUTeBqVPBUt3r+TiqHM8SoVEy1lWzbJ+9DwtlRYL2+IJujg
hGmshv1pXrugI2xYrG55VasQy0MVef4R+1CY60p8qtZJclk1brlCxwDUx+iizgyDyXMyPEkLXTvR
LF2e13ECsNkK4boBCq9VmaOoaL85TZdfZQMIAmrJ/ZnD8T8FlmVNncbNrvSqPS5lhADrFHA8Xjmn
iVewC3apdwEoJF02hqrNvRZ/ykpRrhPEn1YxyA/cWbUlWof72mBfeUVTLno9RJC3zYPTOOiTKWpd
XyXZpNKLdQSy98F1QUpw7KtDuuCEgYgapTQVGILTQLHdBUGcswICIpALqjmpE2LxLkf4AnF8iiPp
WFPWs2jZ5R3HWgiGtEmOmmJYRg5gN4NUts4anJOoIhp+fiA3OtYenjxXvfYgKqVDlCs/MZrHWUYW
I9cZfhAmkKs08r8arQ5siGJ/1mWfvSL6LPC1c7T7kH3ygstaBy0DDoQieArZ0fS8VTS2xUoyk3vN
ozjVp+aBiajSpKYIz64XhotaMrB0dpELTo3xC190OHXM/DKT3BM9Hr7ZxKiaMInWc+3OHaozmBXt
EXh8hKDqUUbZxD4BIxxPRnc8MTK+0jrvZ5hTnEWJ9k3Vys9jF91Kbk4i4WO1GvenZkej2CJuhkON
BBAn3D7CZMY0RlYAaolzSpMBYZFEAEDAp/UJwDVLozGr+F9ybzzXdR0qiwWcuB8lhKyQRGV+0MbD
9to+5ZAOtW8CHzHsWzXWx+gVHsLKHhOyhxLDXINejm8Z9xKINJT26OdIA+AaHLhcJzSwy4sPUBUv
oeRQdFMT5QgvH+QRBJzfFeIcnpDpGNDrsIVwBxxNDiLDaKetXdKjQd+jUAn98d8aEIeEVZyhAiIL
ORAzGhlkIREiDYiF4PWHRKoQEJGZqXi2XMRCWqQN9P1eiI3kQnYkFQIkLkokipAkoYhAnV7IlKgu
NVshXKKhYDLQLg2EpElkGFclGieqEDtBcW1qoX5CNhJzuBvgv4Q0ioVGimQjlkLMl01QSaunuZBS
ga9z2QpxFbc2juSgQ0VdCK/IKLCUcRMcKGiyFEKcpciIxT3kWmLtplLcU6nzFh2c1YXeBfDOhMQL
hYNlJVRf6O3P7CL+5iMHY2c5S51lkudWz8AmX3O/OuitLt+PJMuegZ5RTn3QnjO3kfwL4ntcBXVY
E43tnrQFJePQMYEIOigqpi3zHII74Nn+fFDoXiDPFh0Uw2gD61PdFbEsZ2WV6cvBc52ZLBXVfl6k
h54P0mvwGu0A4tN4UISKtNSzQp5nRX5uSk65GKPhAHWvG5qF2pkaEnKw+0F7Cuhm+3ClJY08vffc
uRnmXwor9L5XKcRqn2V8boXh/RiORECpo9Xlf87PR0iN+ltIzfF9epfdbnQXFL/44xBV98AIY5iH
cazAefOjH4eovodhrMDHKI5A3IANf8bVyHukabLhOBr2rBp1xp/1THvPMkBQAagRZc6/Ucs0TK7y
ppZpwNBkKdswXSxH4YB/Wcu04tqzE9WTTgkvSaSxLJD18d7t0FyNjJjOK5BUgwS8fACpYihbXjgC
uaparUTmYAlEq/cAbnWUAXXWSik/uw/gV9rURO8YjpNHDPoyLAC7VCr6y54QhaFQiPGrLZeTvuzs
ZV8HGH/nkrMoFfUmBcV+6xUxmmtqny8y34LYByKdmgh1NhxS+7lmFfCbIrX8itqDQuEFXs3ot8ZB
l1oHYVhqsPjLfcPHl7ZqpGWjNt9goyNpWoBkjeEzTqB6zW1pOMYdw5kkljH3Hb09sVMZSFoJ9ROl
EHjTA2IOyJVqOCP0nHYCvzo4bLAeoELVLfP5qCH0gJ/AWVhRS0qHOv7S2sZwqSif4bpA3ZFQ8is8
H5FY55wFyL6oKsecBBkdl+AUTt5thfCAiQwktYAY0YfWgBNk9+OSXkxwkFqSQakp6PejoZLnlVHQ
Cy4pXk3sXs4YMxv+SZBL+OoEA3mdA6om02gQ6gcF++skAnl4PtqhBc5Cj877VqZB7/srJ6Ik5Uoy
vxSNY7CgGpui4KOlcUSBsUMhD3URIXybAsFETGpW2ZYkPEx9bNidNHcvDW67bEMhUcLETvfTsm2X
SZUFB64p2ceB3lX9pHZcNKL45fRYKRr3HONDCF2GMfFTc+2VILe6Klbniu58ibB1nLt1/p1OXDKF
pXsUu9Q67HA4jeUoo/2VfPfR/C00D7Boog/TBMtOhERstnWQSBOkyvfLFqA0YgvKFOv1Sz+kisB+
vtR9/uGU9lTpjQbz+Ae0WNDkHQ8AyhUcWUnaph+3otUzaNZUQbJEOzOMKmK05UFEAz3AebWKPPzo
4vqoLByZXjoOYW3WkZ4WBhYnepbNpCxbZqVAeNhjs9T8+GvcWoA1ewVD9b466HrIr3HrKQtDd+2T
CCialDh3KqayZpicZw1ULkk7rnJLpdQm5SeDBOpENWFeUB+lkNLRyauN+EoOXXdu2/e11B8GsXUY
6NbR4GfOHGrCsqDmambjgnc+pah3ZHCooYZyaCjBUeLbwvvBcI9TG/peYuYaFEmPanTv7Rc+0oYh
pduCL8n2rYO8C8KJFFrgISJ77eFkSycwOO3bjIpNChNAqttkajvFVDHjfac25jZ+30lpT7qMMAJG
p2kFbC3JohwpBkRoQbVVtvBU+SJHJMXPQ7Sg9EOn4zhTYOH6tQEYpI+v7Rgii95cA4G2maROZp66
mB0euPb4HTWYC8TM960GOl2SzM2616ay3x8aUgScvV37VLjQ+EbPxMthh9hnVZRe2Jl650Ss4STW
7mtnuNCBEM2SIj8einEhRTpEW22ahMAndGJADzWYdpRJPN3kdhyGK6JDFPmicL9s/LMx608TYgDO
WQE+WllJNmUjjURr8TxJ+5OhGKbqiFqQ28wIa8DbSUsaBivSqWmSh4SQaDcYwCZipERNzEtjhNel
xplGoJSGPDvF6gupcTlbQrqg6t9gqFPHs6D1Vj3FyiSTjlq0WRAFWaMgipBNj/Na8l3VgWSVykyH
OuDW8X0Z32duc9HX9AxsmcKQOYFfeGMg4FKN2gyXSHwUwBC46qmp25dVbS50FLENr7/Qe+cqDgFW
OzE8iAylwASjYsclpk5It6iZInyUfB+K4IQdbjHQx658e2baEJJRCN/XlGHVj+WNrNQHo2FfmmZ+
Y/vVhYfBXpPcpRgyFLLsg5xRJpYmuiD5ogLojevL3AeQ4Gn+OcT746zVLlQ3gWgOT7GURY8cLR55
JTntyq4gMfrxZWhkR7WhXJc8qeUSpJpGPncltGTkZsFSPKkce6Fo1QFIcm5YzL2cAevTapYVlFp1
Xb3tmuyGS+mL3tVmA/5kU1ZSgTY4zZoUSGRaTVNbOgStsz9K1jxDFmbSlhE6qRwSfu4iQQT8Bn1w
C6J8+5mexNe6QK0wt3B5s8iFdKqDdblKiYflPsmQ1oPfHLY3XSl/zsrwAtOApQD9By4pIWpOXlqv
rNpgdlrL1mjPEbY5zJHZb6XmEk2pld27p8jU76d6ckByCRs8sEnpgkUC2D535X0WGO0I+zws0VtU
+i+5Gc+ouzVTkPjXbmmeV2V1mlbGRdN78sRWqstGQKnALqA9JbDk8RHaJQexXciTLvaOS7FRjdnN
ENUQFI1lniPgBvI9JPKsOhH04LaXp9dlPhwoKsbYYENOJVd2v3lDEF9WFcT7Ua0PSpleZAfHo444
eEIQKeZ1WCfWvtqBLgKr+QUoMFVuhOozbx4Fyp2ZIGlQFzdR6e/LqnLKfhvM5TJaKlDP4FOzLmMr
mo6y8sU3qnzhaNFVUuJoVPTREqLaWRjh9BAhIpFmcB6oJazcyKSFIiXzYMwAjZVTC7j/VBnUWRTT
lvPTs96jaun2eHQPd7mUz6UqXNelQbcU8aSEji0uRhZsA29e+lI6lYgQohoT4phDonfSVSvZdy2K
EFWAyERrLZAimKeZKCfT4oCoPkJeSQ8Bex2WNQZLRiCI1fk0BRhRk6tIficdpIj55DIaMVTdSiVD
P6A+HqXuS1Xmt4jEzL0Qep0b98etDhkf2pv1CFX4pTDa+243xEaa6she4eHmGG+sQLDTKkvsTqRT
OVkFsG8yWlRIfb2oO23gBhDnvgtDaesrGM/qhLYP1IEX0O5ASmTT0BXptLe/ld2ya770SPHQYYWg
+Ps7bQp4X95JPMmLO2UusCtqPxIqbye+DpvFwt91xHb0U9h8DTJz+vvbbRw9VhPOhbqCXosoYL24
nWpn5Ihx5p210te6OSy82zS+/f0tNr0R0TLBsnAv14UYzMtbuKbVw9HK/TMQTmG3bJCsi300qTxa
ipQJ6keZw78zH6gGkrQA+9dVxXyTMbSpWamDXAdnAVSvQCsmjbfMoz+803tHJ77tFzd5A/WvXKnG
BpKbhCU90/IIq+zZ70dtwxfz6g7i5y++mLYea1xCuEOZHyNVNo3Ai1rBH24iJANfI0Vev8abryaP
qDS0SRWc9RKSXgaSU2eIk7DBfTGCqVmdqiD8/v5rUZQU7BpgMKb2piAaBQiBACoMzqzivJA9enL7
lvv9799DM6m7mhpfEWZ3r4cO/CUqEm0ZwtX056CGrRQV0/j69zfZNHSaJTuGTsFYCPO/vglMMssK
gj7k+/mSmkc+mSJuEhPHvQybQ72luuqe//6OYk69/bJe3vHNl4WprFPmyhCeyT21u+ozStB/2AwU
8dA/byEEmQzF0nGTBThksl7fbD4UffwIyfTkLDwq9+t9Ds/jbGrMjXP/wpjSfl/YU2nx+7d6fUvB
CWcEX4zjm1v6LUhpgGzhWWtWpMloEDpsCtnq93fZPHbwYmVOTgQ+33xbtL1Nq04A3UGSm6rKoSiT
/v4OYvR/Dt3je+iKmG3oYguF7NfzIa9UoHwVltcWqS82aUSbXwPUkrww/MO7bBqxl3d6s8GREQMM
t8zwTDHuffvccC+L8Q/b2+ZbGODbHIuVZL2ZagH69bY+etFZmp4aNCF6yC5qY/7hqNu0hJhsP+7y
5quPSshKg8ddgugWzIGrSXOcew30K6P6TIqWsfGH7+jda6k0gyxUqRWOIgWCwuvvSHUgmyQW6ot1
u4TC0JnzYrz4/TR4N9He3IJa2sttGxc+BtRHWawDq6xIgHUQ8/wnt0CLFgc2iGYP4mYvToaw7xMp
JtM6q+JbadwHnvWHG7ybyrwDnXuDdULhTTXEgf7iBmydVqcIRw7ivKQxpn64H4QEps79w4v8B2Sq
siR/3dU8zijKvm9ril96rsiCMMUokrDMxKKD4is/+lGRVfaEEQxHjv5YeP1ZkVX4JUt3LCT0DPqN
zP4nouODsp6m45KDbbEArCp/pyirizn8c6ujqanrCpAKR1HoryJrrL6eH0VW6LXth/5Z0VC5WBVR
h+KkYZ0qiL4Be/QkVxrnUU7ZCRR4PsrOrAosvDaQsaxh/D9KSpmK53zv7GpVSqnmrmnZhAhAdGks
HVJtrtwDheKYMofZIoGliVLQLnRBfWEh3Kg9e9JogBWfxpWDZi98CwsoezvA/iDhgwWKKPmA8cok
LIPCX1ldw1yOUT6eaL1VGqvCK51wmgpXJ7Po4vLU0+OGUBGapjX3IIWYINDwfh/rRro3AtST/79M
/afVudF/8gfMWPz0wW35KntnUvlv/aXnmv/mC/0tQ0uZY+HVYnp4sAdLzd9eJ17D0GnusMwEek2A
JroUHM0Pn//6K85S7+nHEl5Qe0i6U0kSZlF8mPDc8cVI/Wosfv+a7x0/31/n16/wcocwCCr+wSjw
mj8HwdoD82Cyap2HdxQv+WoQ2HPAtKvwpMmixWcXBoGt5bXBqf78YI/54I/59bfmg7WHkRjSo+QH
Dx9m2KuhUNU9lf3VQu9oBybCuzEgZn6coduMAVatAhijCj7865dnMYCMfjgrdmYxbBoDoret9wVw
OQaiD2JW8SHQeTUULAkKn5ynFoP0f78jbBoEDvmtBwGtOrq4GlvgpkFgMSgaW6OlMDy7OQiPy3Sb
1eDsGQphBaHNLwYBnBm7JxHPTpwNm2bC4xTdbhBU2QEJr7DBiA93ebUcmAlws8GyCU/6nZwJyvax
AoAHQ1U1hKg3zwTF3iPyZu9ESlJ8dnY+vM1B/knYBM1NhZj2+Kbv5wNkN4pErBsyyJ2cD8K8bLvt
kdTJAiBqUdh5nA/vYgUd1xgqWKYAmO7kIGjbzwScbAxV7JBPi4LY8PXOQFIKGMhUdncmPB5e22yP
5p5FY8YAZfo4E94OgogWbFJvW5RVd3ImyP8kiRCnwM8sgoMS0BetD1bW6ylAmEBRzcJkcEffXhgq
bbkZEBrbTHL9/dvre3QHNYorT9vEjo6BKBZuNwYapSk6ayTTT8vg3YYo7zmoyVKB2tVloGyfPakU
DHCkoPfzEAQICvir1aAYe6LLQDdlhyoKLMzXyTQNn63PBqw5SI/Mh3L0w1iI/eJVcQVRYluRQZfu
apSgPO5Y250NtowHODyTX5wNmLCC/UKwbleTKGX7UEneo5vD0lcf18S7RUGZDYQWm4P5GKb/HxfY
NiwHAS/ecns09jTrIZF8XPibymwi38YOcGcHYftM0tzj9aigPSdRG0IlOhsO2fSuDgItkm1ngrbn
2DLYpKeJ8H4mWEwV5EbxmtzRaOEpkN1mY3T2OGNIlSkn/up0cBRDwYxpV08HbeuNUbMIGwUbwn4K
Dt8uBworuiqjJaPt7Ez4iPSJYgLZgfVUXWKBvY4TIJSYFBppP+zochCN0C1PB5b8Yx/2aSYwrK8H
Qdljlgj3950Nnh+/nW32BAvZXXrYhvzUfnk3COoeAklECaIgz4DvXpygbp9GWcI3mMVAO/7h83Y5
CAiACWhSZe98+OzqUDye4NvMB2dPRToOIMvTzvA2mVKVPUAQrAlnV88IdftFgQuL4LcRHz/Oh02D
AMRZQV16t+fD9ieFRnLNQAB+eXzTt/uDQv8WT0dEhx435N3bHwT6b8uTwiatpjupU2B/+LDM3p4U
gKr5H8mG+OzsUGyfTVBbo+2EVsNTDPl2aTAfAKyCVt3VwOGpErbNHknBCW8Cg6LTm3nAy4Nxtxmd
p9r8jp4T2vbnBHEDQwBR4enIfDsPOCdUh6RTkEB2eUkI3OmWu4MuEgYRIf26F4FSrqajb7zTp4Vg
jW85FAbWwEieU1Z6+NLfpdmi6kQKTut+Z7eH7aOHh2gSSYrnTeDdaQGiCRo/58WunhNPncNt9kg6
8wZxA+D7X8wE8As6HCR5Z7uU+vZxgymSKwWI+9PCf3teCBCHarNWdjaY1rePGOhSmrJGM+4xNtpU
ieaHbKCCt8FnZxfFYxVgi0Uh8AuaUCl+xjqy17yOI1XEh+lVUXvZ0cjhnS/mP0GyQP0xHdCtjzvD
u8jhIbwydVLyXR2E7Q9KVKZ17Dwh3T0OAnvN65lAmi0LbBOiZ7tZdtG3PyiR7tZUSIEwmx4+77ZH
BRcpTpHdrTUIgvN2IRMtW/rSJji3X0SPnBGAugDzgIwXn13dHoUz2NZDAVXPIq14Oi43BE6klgZx
9M4OwkfEDKTW4rv+NTUALhJ1aUFEYsB3r+Dy9GBbHJQ0aQTjCgW8XwwCeQQRheDI7+wgbB84AWYk
LNLkX4HBqUrDDFAgcO/qGfFOUfSfRAv4N5AqyURfb09IfmApQL12dR1s36zkhATGAcTvV6hfoPB0
a20wP//+IPwbO8YPXtnUD+K7B9pZcF898HoeiVR//AvPbKz3F3iBe3qgUr36m1fI+Dxe+xEdJf77
X+s7dAhmQVWXwW2tPux4L376vAM+3Onp959e8f3NX93s+b2e/3AV3Jfr8tYfHn4wPD3oyTqBt/Y/
Mf+6W79FbYmq+POfiXv/93+9ftgXZ+Lvr46B5P3zhfbv/vvJpVMmvvj5qv/04sn6LiufL/Ti4iyc
rS8+QUpv04NzEG597ek6Xrd8JdXztV48O/N9++tjMFO9+0rJQtm7P+DiKGGt/5pmVb3pFmxnW99i
dh//dZKVG8efvWfr68/jv2ZZyeR5vtaL8Sc22/r6i/K+SjddnPNs64sv4/s0fb7Oiwf/iOW6apJv
WXxXv7+8wDVv/ej7SX5fBuv4+VI/n16gZbe/PH6Dz5d5cemPWLGH9+WGMRdIvq2f+hCJoA0bgfIR
a/VoHW3YwwTiauvHPlpX1f2mMfmIBXqUVX/9T+rdx/ebRuYjlujx+o4N+HkcXsyWj1iix2tspjdc
+yOWqLg2PiIbHl3gRbb+Wv+k5osYVD1sERAc35e393fPD/pz3AWxafuH/43oxdYPnm3a0dWPWKXH
WVrfl/fD8wi8GJWPWKkn63zTbPmIdXpy367fx44GwlvP77LFVDkt12wBzxd6MSgfsUTP4vXt/YbY
UfTvtp6HZ1ifbAruBDFm64tfBISOVXC3YWQEnnjr61+ub1Gm5TIbzlIBOfmAG6R/Te7TYOMNPuJE
vVyLG5TpurzbKEuufcSiFTeZBffeplH6iFUrrr9gBdwG1e2me3zE8hX3OMgQxt10WgksxYd810dN
UP11+i2o8k3v8RGLWbzH8bq+33T9j1jPXL9e/zVZl9/Wm2IGAbX4iJHiHtN48x0+ZmGLt5iWzfj8
uD/3VNET3v4V/PXGnFDwv7a/ODWMjYP/IYs5qCIU7Zrn53wxMB+ylrN4vSl6EBCB7QeGwCTZcMCL
jub2F6/XOJ7E62ZDHK5/yNIVZZYN57Dowm399Ff3/nrT0Iju1vYXJ8YnFn6+0s8pIxpG21+9YSfY
cMQL4vMHXPy3DsTbhsqfeMBm01o1PmKt/sava9sH/9J827CQjD+v0k1l2R8drPfF2mfNrk2/9roW
Lf7GbXy/Lv/1vwAAAP//</cx:binary>
              </cx:geoCache>
            </cx:geography>
          </cx:layoutPr>
          <cx:valueColors>
            <cx:minColor>
              <a:schemeClr val="accent6">
                <a:lumMod val="60000"/>
                <a:lumOff val="40000"/>
              </a:schemeClr>
            </cx:minColor>
            <cx:maxColor>
              <a:schemeClr val="accent6">
                <a:lumMod val="75000"/>
              </a:schemeClr>
            </cx:maxColor>
          </cx:valueColors>
        </cx:series>
      </cx:plotAreaRegion>
    </cx:plotArea>
    <cx:legend pos="t" align="ctr" overlay="0"/>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microsoft.com/office/2014/relationships/chartEx" Target="../charts/chartEx1.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322580</xdr:colOff>
      <xdr:row>2</xdr:row>
      <xdr:rowOff>143934</xdr:rowOff>
    </xdr:from>
    <xdr:to>
      <xdr:col>28</xdr:col>
      <xdr:colOff>508000</xdr:colOff>
      <xdr:row>49</xdr:row>
      <xdr:rowOff>28575</xdr:rowOff>
    </xdr:to>
    <xdr:sp macro="" textlink="">
      <xdr:nvSpPr>
        <xdr:cNvPr id="2" name="Rectangle 1">
          <a:extLst>
            <a:ext uri="{FF2B5EF4-FFF2-40B4-BE49-F238E27FC236}">
              <a16:creationId xmlns:a16="http://schemas.microsoft.com/office/drawing/2014/main" id="{29547C34-9830-884F-3697-1E91D45E884D}"/>
            </a:ext>
          </a:extLst>
        </xdr:cNvPr>
        <xdr:cNvSpPr/>
      </xdr:nvSpPr>
      <xdr:spPr>
        <a:xfrm>
          <a:off x="1541780" y="686859"/>
          <a:ext cx="16035020" cy="8390466"/>
        </a:xfrm>
        <a:prstGeom prst="rect">
          <a:avLst/>
        </a:prstGeom>
        <a:solidFill>
          <a:schemeClr val="accent1">
            <a:lumMod val="20000"/>
            <a:lumOff val="80000"/>
          </a:schemeClr>
        </a:solidFill>
        <a:effectLst/>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IN" sz="1100">
            <a:solidFill>
              <a:srgbClr val="7030A0"/>
            </a:solidFill>
          </a:endParaRPr>
        </a:p>
      </xdr:txBody>
    </xdr:sp>
    <xdr:clientData/>
  </xdr:twoCellAnchor>
  <xdr:twoCellAnchor>
    <xdr:from>
      <xdr:col>0</xdr:col>
      <xdr:colOff>0</xdr:colOff>
      <xdr:row>2</xdr:row>
      <xdr:rowOff>137158</xdr:rowOff>
    </xdr:from>
    <xdr:to>
      <xdr:col>2</xdr:col>
      <xdr:colOff>321732</xdr:colOff>
      <xdr:row>49</xdr:row>
      <xdr:rowOff>85724</xdr:rowOff>
    </xdr:to>
    <xdr:sp macro="" textlink="">
      <xdr:nvSpPr>
        <xdr:cNvPr id="3" name="Rectangle 2">
          <a:extLst>
            <a:ext uri="{FF2B5EF4-FFF2-40B4-BE49-F238E27FC236}">
              <a16:creationId xmlns:a16="http://schemas.microsoft.com/office/drawing/2014/main" id="{6827A7BA-775F-889A-A254-D5B281DAEB74}"/>
            </a:ext>
          </a:extLst>
        </xdr:cNvPr>
        <xdr:cNvSpPr/>
      </xdr:nvSpPr>
      <xdr:spPr>
        <a:xfrm>
          <a:off x="0" y="680083"/>
          <a:ext cx="1540932" cy="8454391"/>
        </a:xfrm>
        <a:prstGeom prst="rect">
          <a:avLst/>
        </a:prstGeom>
        <a:solidFill>
          <a:schemeClr val="accent6">
            <a:lumMod val="50000"/>
          </a:schemeClr>
        </a:solidFill>
        <a:ln>
          <a:noFill/>
        </a:ln>
        <a:effectLst>
          <a:outerShdw blurRad="63500" sx="102000" sy="102000" algn="ctr" rotWithShape="0">
            <a:prstClr val="black">
              <a:alpha val="40000"/>
            </a:prstClr>
          </a:outerShdw>
        </a:effectLst>
        <a:scene3d>
          <a:camera prst="orthographicFront">
            <a:rot lat="0" lon="0" rev="0"/>
          </a:camera>
          <a:lightRig rig="glow" dir="t">
            <a:rot lat="0" lon="0" rev="4800000"/>
          </a:lightRig>
        </a:scene3d>
        <a:sp3d prstMaterial="matte">
          <a:bevelT w="127000" h="63500"/>
        </a:sp3d>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266700</xdr:colOff>
      <xdr:row>5</xdr:row>
      <xdr:rowOff>130404</xdr:rowOff>
    </xdr:from>
    <xdr:to>
      <xdr:col>2</xdr:col>
      <xdr:colOff>99060</xdr:colOff>
      <xdr:row>7</xdr:row>
      <xdr:rowOff>70800</xdr:rowOff>
    </xdr:to>
    <xdr:sp macro="" textlink="Pivots!I5">
      <xdr:nvSpPr>
        <xdr:cNvPr id="4" name="TextBox 3">
          <a:extLst>
            <a:ext uri="{FF2B5EF4-FFF2-40B4-BE49-F238E27FC236}">
              <a16:creationId xmlns:a16="http://schemas.microsoft.com/office/drawing/2014/main" id="{1576B0B1-AD52-359F-CE23-A69AAEA2CAB4}"/>
            </a:ext>
          </a:extLst>
        </xdr:cNvPr>
        <xdr:cNvSpPr txBox="1"/>
      </xdr:nvSpPr>
      <xdr:spPr>
        <a:xfrm>
          <a:off x="266700" y="1044804"/>
          <a:ext cx="1051560" cy="306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26C023-4508-476B-B3D5-9797DCADD0FD}" type="TxLink">
            <a:rPr lang="en-US" sz="1400" b="0" i="0" u="none" strike="noStrike">
              <a:solidFill>
                <a:schemeClr val="bg1"/>
              </a:solidFill>
              <a:effectLst>
                <a:glow rad="101600">
                  <a:schemeClr val="accent4">
                    <a:lumMod val="75000"/>
                    <a:alpha val="60000"/>
                  </a:schemeClr>
                </a:glow>
              </a:effectLst>
              <a:latin typeface="Aptos Narrow"/>
            </a:rPr>
            <a:pPr algn="ctr"/>
            <a:t>868</a:t>
          </a:fld>
          <a:endParaRPr lang="en-IN" sz="1400">
            <a:solidFill>
              <a:schemeClr val="bg1"/>
            </a:solidFill>
            <a:effectLst>
              <a:glow rad="101600">
                <a:schemeClr val="accent4">
                  <a:lumMod val="75000"/>
                  <a:alpha val="60000"/>
                </a:schemeClr>
              </a:glow>
            </a:effectLst>
          </a:endParaRPr>
        </a:p>
      </xdr:txBody>
    </xdr:sp>
    <xdr:clientData/>
  </xdr:twoCellAnchor>
  <xdr:twoCellAnchor>
    <xdr:from>
      <xdr:col>0</xdr:col>
      <xdr:colOff>464820</xdr:colOff>
      <xdr:row>9</xdr:row>
      <xdr:rowOff>118250</xdr:rowOff>
    </xdr:from>
    <xdr:to>
      <xdr:col>2</xdr:col>
      <xdr:colOff>137310</xdr:colOff>
      <xdr:row>11</xdr:row>
      <xdr:rowOff>16311</xdr:rowOff>
    </xdr:to>
    <xdr:sp macro="" textlink="Pivots!J5">
      <xdr:nvSpPr>
        <xdr:cNvPr id="5" name="TextBox 4">
          <a:extLst>
            <a:ext uri="{FF2B5EF4-FFF2-40B4-BE49-F238E27FC236}">
              <a16:creationId xmlns:a16="http://schemas.microsoft.com/office/drawing/2014/main" id="{802A7CBD-2167-455F-B9D6-09D85099E4CC}"/>
            </a:ext>
          </a:extLst>
        </xdr:cNvPr>
        <xdr:cNvSpPr txBox="1"/>
      </xdr:nvSpPr>
      <xdr:spPr>
        <a:xfrm>
          <a:off x="464820" y="1764170"/>
          <a:ext cx="891690" cy="263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52A8EF-7DCC-451D-A2F0-9BBB0C6CA45F}" type="TxLink">
            <a:rPr lang="en-US" sz="1400" b="0" i="0" u="none" strike="noStrike">
              <a:solidFill>
                <a:schemeClr val="bg1"/>
              </a:solidFill>
              <a:effectLst>
                <a:glow rad="101600">
                  <a:schemeClr val="accent4">
                    <a:lumMod val="75000"/>
                    <a:alpha val="60000"/>
                  </a:schemeClr>
                </a:glow>
              </a:effectLst>
              <a:latin typeface="Aptos Narrow"/>
              <a:ea typeface="+mn-ea"/>
              <a:cs typeface="+mn-cs"/>
            </a:rPr>
            <a:pPr marL="0" indent="0"/>
            <a:t>4,220</a:t>
          </a:fld>
          <a:endParaRPr lang="en-IN" sz="1400" b="0" i="0" u="none" strike="noStrike">
            <a:solidFill>
              <a:schemeClr val="bg1"/>
            </a:solidFill>
            <a:effectLst>
              <a:glow rad="101600">
                <a:schemeClr val="accent4">
                  <a:lumMod val="75000"/>
                  <a:alpha val="60000"/>
                </a:schemeClr>
              </a:glow>
            </a:effectLst>
            <a:latin typeface="Aptos Narrow"/>
            <a:ea typeface="+mn-ea"/>
            <a:cs typeface="+mn-cs"/>
          </a:endParaRPr>
        </a:p>
      </xdr:txBody>
    </xdr:sp>
    <xdr:clientData/>
  </xdr:twoCellAnchor>
  <xdr:twoCellAnchor>
    <xdr:from>
      <xdr:col>0</xdr:col>
      <xdr:colOff>152400</xdr:colOff>
      <xdr:row>14</xdr:row>
      <xdr:rowOff>22105</xdr:rowOff>
    </xdr:from>
    <xdr:to>
      <xdr:col>2</xdr:col>
      <xdr:colOff>262914</xdr:colOff>
      <xdr:row>16</xdr:row>
      <xdr:rowOff>29556</xdr:rowOff>
    </xdr:to>
    <xdr:sp macro="" textlink="Pivots!K5">
      <xdr:nvSpPr>
        <xdr:cNvPr id="6" name="TextBox 5">
          <a:extLst>
            <a:ext uri="{FF2B5EF4-FFF2-40B4-BE49-F238E27FC236}">
              <a16:creationId xmlns:a16="http://schemas.microsoft.com/office/drawing/2014/main" id="{556D4128-AADE-4A41-8640-8AC5C1794852}"/>
            </a:ext>
          </a:extLst>
        </xdr:cNvPr>
        <xdr:cNvSpPr txBox="1"/>
      </xdr:nvSpPr>
      <xdr:spPr>
        <a:xfrm>
          <a:off x="152400" y="2582425"/>
          <a:ext cx="1329714" cy="373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DDC327F-40A5-404A-9C48-DEA0C25A2471}" type="TxLink">
            <a:rPr lang="en-US" sz="1400" b="0" i="0" u="none" strike="noStrike">
              <a:solidFill>
                <a:schemeClr val="bg1"/>
              </a:solidFill>
              <a:effectLst>
                <a:glow rad="101600">
                  <a:schemeClr val="accent4">
                    <a:lumMod val="75000"/>
                    <a:alpha val="60000"/>
                  </a:schemeClr>
                </a:glow>
              </a:effectLst>
              <a:latin typeface="Aptos Narrow"/>
              <a:ea typeface="+mn-ea"/>
              <a:cs typeface="+mn-cs"/>
            </a:rPr>
            <a:pPr marL="0" indent="0" algn="ctr"/>
            <a:t>$229.4K</a:t>
          </a:fld>
          <a:endParaRPr lang="en-IN" sz="1400" b="0" i="0" u="none" strike="noStrike">
            <a:solidFill>
              <a:schemeClr val="bg1"/>
            </a:solidFill>
            <a:effectLst>
              <a:glow rad="101600">
                <a:schemeClr val="accent4">
                  <a:lumMod val="75000"/>
                  <a:alpha val="60000"/>
                </a:schemeClr>
              </a:glow>
            </a:effectLst>
            <a:latin typeface="Aptos Narrow"/>
            <a:ea typeface="+mn-ea"/>
            <a:cs typeface="+mn-cs"/>
          </a:endParaRPr>
        </a:p>
      </xdr:txBody>
    </xdr:sp>
    <xdr:clientData/>
  </xdr:twoCellAnchor>
  <xdr:twoCellAnchor>
    <xdr:from>
      <xdr:col>0</xdr:col>
      <xdr:colOff>220980</xdr:colOff>
      <xdr:row>18</xdr:row>
      <xdr:rowOff>90045</xdr:rowOff>
    </xdr:from>
    <xdr:to>
      <xdr:col>1</xdr:col>
      <xdr:colOff>550002</xdr:colOff>
      <xdr:row>20</xdr:row>
      <xdr:rowOff>91061</xdr:rowOff>
    </xdr:to>
    <xdr:sp macro="" textlink="Pivots!L5">
      <xdr:nvSpPr>
        <xdr:cNvPr id="7" name="TextBox 6">
          <a:extLst>
            <a:ext uri="{FF2B5EF4-FFF2-40B4-BE49-F238E27FC236}">
              <a16:creationId xmlns:a16="http://schemas.microsoft.com/office/drawing/2014/main" id="{64D1E502-ECAC-4954-8E04-0BAAEA4BC804}"/>
            </a:ext>
          </a:extLst>
        </xdr:cNvPr>
        <xdr:cNvSpPr txBox="1"/>
      </xdr:nvSpPr>
      <xdr:spPr>
        <a:xfrm>
          <a:off x="220980" y="3381885"/>
          <a:ext cx="938622" cy="366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7FDEE1-18E1-485A-9E43-E71A077349B9}" type="TxLink">
            <a:rPr lang="en-US" sz="1400" b="0" i="0" u="none" strike="noStrike">
              <a:solidFill>
                <a:schemeClr val="bg1"/>
              </a:solidFill>
              <a:effectLst>
                <a:glow rad="101600">
                  <a:schemeClr val="accent4">
                    <a:lumMod val="75000"/>
                    <a:alpha val="60000"/>
                  </a:schemeClr>
                </a:glow>
              </a:effectLst>
              <a:latin typeface="Aptos Narrow"/>
              <a:ea typeface="+mn-ea"/>
              <a:cs typeface="+mn-cs"/>
            </a:rPr>
            <a:pPr marL="0" indent="0" algn="ctr"/>
            <a:t>4.0</a:t>
          </a:fld>
          <a:endParaRPr lang="en-IN" sz="1400" b="0" i="0" u="none" strike="noStrike">
            <a:solidFill>
              <a:schemeClr val="bg1"/>
            </a:solidFill>
            <a:effectLst>
              <a:glow rad="101600">
                <a:schemeClr val="accent4">
                  <a:lumMod val="75000"/>
                  <a:alpha val="60000"/>
                </a:schemeClr>
              </a:glow>
            </a:effectLst>
            <a:latin typeface="Aptos Narrow"/>
            <a:ea typeface="+mn-ea"/>
            <a:cs typeface="+mn-cs"/>
          </a:endParaRPr>
        </a:p>
      </xdr:txBody>
    </xdr:sp>
    <xdr:clientData/>
  </xdr:twoCellAnchor>
  <xdr:twoCellAnchor>
    <xdr:from>
      <xdr:col>0</xdr:col>
      <xdr:colOff>525780</xdr:colOff>
      <xdr:row>22</xdr:row>
      <xdr:rowOff>135636</xdr:rowOff>
    </xdr:from>
    <xdr:to>
      <xdr:col>1</xdr:col>
      <xdr:colOff>596680</xdr:colOff>
      <xdr:row>24</xdr:row>
      <xdr:rowOff>175260</xdr:rowOff>
    </xdr:to>
    <xdr:sp macro="" textlink="Pivots!M5">
      <xdr:nvSpPr>
        <xdr:cNvPr id="8" name="TextBox 7">
          <a:extLst>
            <a:ext uri="{FF2B5EF4-FFF2-40B4-BE49-F238E27FC236}">
              <a16:creationId xmlns:a16="http://schemas.microsoft.com/office/drawing/2014/main" id="{BC8D8913-51DE-4C3C-9EE1-FA3177D36BBB}"/>
            </a:ext>
          </a:extLst>
        </xdr:cNvPr>
        <xdr:cNvSpPr txBox="1"/>
      </xdr:nvSpPr>
      <xdr:spPr>
        <a:xfrm>
          <a:off x="525780" y="4158996"/>
          <a:ext cx="680500" cy="4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C621AD2-F324-4E65-99A5-8543C777304A}" type="TxLink">
            <a:rPr lang="en-US" sz="1400" b="0" i="0" u="none" strike="noStrike">
              <a:solidFill>
                <a:schemeClr val="bg1"/>
              </a:solidFill>
              <a:effectLst>
                <a:glow rad="101600">
                  <a:schemeClr val="accent4">
                    <a:lumMod val="75000"/>
                    <a:alpha val="60000"/>
                  </a:schemeClr>
                </a:glow>
              </a:effectLst>
              <a:latin typeface="Aptos Narrow"/>
              <a:ea typeface="+mn-ea"/>
              <a:cs typeface="+mn-cs"/>
            </a:rPr>
            <a:pPr marL="0" indent="0"/>
            <a:t>2.5</a:t>
          </a:fld>
          <a:endParaRPr lang="en-IN" sz="1400" b="0" i="0" u="none" strike="noStrike">
            <a:solidFill>
              <a:schemeClr val="bg1"/>
            </a:solidFill>
            <a:effectLst>
              <a:glow rad="101600">
                <a:schemeClr val="accent4">
                  <a:lumMod val="75000"/>
                  <a:alpha val="60000"/>
                </a:schemeClr>
              </a:glow>
            </a:effectLst>
            <a:latin typeface="Aptos Narrow"/>
            <a:ea typeface="+mn-ea"/>
            <a:cs typeface="+mn-cs"/>
          </a:endParaRPr>
        </a:p>
      </xdr:txBody>
    </xdr:sp>
    <xdr:clientData/>
  </xdr:twoCellAnchor>
  <xdr:twoCellAnchor>
    <xdr:from>
      <xdr:col>0</xdr:col>
      <xdr:colOff>0</xdr:colOff>
      <xdr:row>3</xdr:row>
      <xdr:rowOff>154600</xdr:rowOff>
    </xdr:from>
    <xdr:to>
      <xdr:col>2</xdr:col>
      <xdr:colOff>182880</xdr:colOff>
      <xdr:row>5</xdr:row>
      <xdr:rowOff>91440</xdr:rowOff>
    </xdr:to>
    <xdr:sp macro="" textlink="">
      <xdr:nvSpPr>
        <xdr:cNvPr id="9" name="TextBox 8">
          <a:extLst>
            <a:ext uri="{FF2B5EF4-FFF2-40B4-BE49-F238E27FC236}">
              <a16:creationId xmlns:a16="http://schemas.microsoft.com/office/drawing/2014/main" id="{5F7E12FB-D0E2-7205-A8BF-2455515C5C04}"/>
            </a:ext>
          </a:extLst>
        </xdr:cNvPr>
        <xdr:cNvSpPr txBox="1"/>
      </xdr:nvSpPr>
      <xdr:spPr>
        <a:xfrm>
          <a:off x="0" y="703240"/>
          <a:ext cx="1402080" cy="30260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0" i="0" u="none" strike="noStrike">
              <a:solidFill>
                <a:schemeClr val="bg1"/>
              </a:solidFill>
              <a:effectLst>
                <a:glow rad="101600">
                  <a:schemeClr val="accent4">
                    <a:lumMod val="75000"/>
                    <a:alpha val="60000"/>
                  </a:schemeClr>
                </a:glow>
              </a:effectLst>
              <a:latin typeface="Aptos Narrow"/>
              <a:ea typeface="+mn-ea"/>
              <a:cs typeface="+mn-cs"/>
            </a:rPr>
            <a:t>🛒  </a:t>
          </a:r>
          <a:r>
            <a:rPr lang="en-IN" sz="1400" b="0" i="0" u="none" strike="noStrike">
              <a:solidFill>
                <a:schemeClr val="bg1"/>
              </a:solidFill>
              <a:effectLst>
                <a:glow rad="101600">
                  <a:schemeClr val="accent4">
                    <a:lumMod val="75000"/>
                    <a:alpha val="60000"/>
                  </a:schemeClr>
                </a:glow>
              </a:effectLst>
              <a:latin typeface="Aptos Narrow"/>
              <a:ea typeface="+mn-ea"/>
              <a:cs typeface="+mn-cs"/>
            </a:rPr>
            <a:t>Orders</a:t>
          </a:r>
        </a:p>
      </xdr:txBody>
    </xdr:sp>
    <xdr:clientData/>
  </xdr:twoCellAnchor>
  <xdr:twoCellAnchor>
    <xdr:from>
      <xdr:col>0</xdr:col>
      <xdr:colOff>198120</xdr:colOff>
      <xdr:row>7</xdr:row>
      <xdr:rowOff>125005</xdr:rowOff>
    </xdr:from>
    <xdr:to>
      <xdr:col>2</xdr:col>
      <xdr:colOff>160020</xdr:colOff>
      <xdr:row>9</xdr:row>
      <xdr:rowOff>48805</xdr:rowOff>
    </xdr:to>
    <xdr:sp macro="" textlink="">
      <xdr:nvSpPr>
        <xdr:cNvPr id="10" name="TextBox 9">
          <a:extLst>
            <a:ext uri="{FF2B5EF4-FFF2-40B4-BE49-F238E27FC236}">
              <a16:creationId xmlns:a16="http://schemas.microsoft.com/office/drawing/2014/main" id="{524F6BFC-CEFB-F32C-DDB2-874A4CE0DA45}"/>
            </a:ext>
          </a:extLst>
        </xdr:cNvPr>
        <xdr:cNvSpPr txBox="1"/>
      </xdr:nvSpPr>
      <xdr:spPr>
        <a:xfrm>
          <a:off x="198120" y="1405165"/>
          <a:ext cx="11811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chemeClr val="bg1"/>
              </a:solidFill>
              <a:effectLst>
                <a:glow rad="101600">
                  <a:schemeClr val="accent4">
                    <a:lumMod val="75000"/>
                    <a:alpha val="60000"/>
                  </a:schemeClr>
                </a:glow>
              </a:effectLst>
              <a:latin typeface="Aptos Narrow"/>
              <a:ea typeface="+mn-ea"/>
              <a:cs typeface="+mn-cs"/>
            </a:rPr>
            <a:t>👕</a:t>
          </a:r>
          <a:r>
            <a:rPr lang="en-IN" sz="1400" b="0" i="0" u="none" strike="noStrike">
              <a:solidFill>
                <a:schemeClr val="bg1"/>
              </a:solidFill>
              <a:effectLst>
                <a:glow rad="101600">
                  <a:schemeClr val="accent4">
                    <a:lumMod val="75000"/>
                    <a:alpha val="60000"/>
                  </a:schemeClr>
                </a:glow>
              </a:effectLst>
              <a:latin typeface="Aptos Narrow"/>
              <a:ea typeface="+mn-ea"/>
              <a:cs typeface="+mn-cs"/>
            </a:rPr>
            <a:t>Quantity</a:t>
          </a:r>
        </a:p>
      </xdr:txBody>
    </xdr:sp>
    <xdr:clientData/>
  </xdr:twoCellAnchor>
  <xdr:twoCellAnchor>
    <xdr:from>
      <xdr:col>0</xdr:col>
      <xdr:colOff>106680</xdr:colOff>
      <xdr:row>12</xdr:row>
      <xdr:rowOff>47656</xdr:rowOff>
    </xdr:from>
    <xdr:to>
      <xdr:col>2</xdr:col>
      <xdr:colOff>6004</xdr:colOff>
      <xdr:row>13</xdr:row>
      <xdr:rowOff>173640</xdr:rowOff>
    </xdr:to>
    <xdr:sp macro="" textlink="">
      <xdr:nvSpPr>
        <xdr:cNvPr id="11" name="TextBox 10">
          <a:extLst>
            <a:ext uri="{FF2B5EF4-FFF2-40B4-BE49-F238E27FC236}">
              <a16:creationId xmlns:a16="http://schemas.microsoft.com/office/drawing/2014/main" id="{8893FC1F-E801-2F07-7641-90E0150AA11B}"/>
            </a:ext>
          </a:extLst>
        </xdr:cNvPr>
        <xdr:cNvSpPr txBox="1"/>
      </xdr:nvSpPr>
      <xdr:spPr>
        <a:xfrm>
          <a:off x="106680" y="2242216"/>
          <a:ext cx="1118524" cy="30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chemeClr val="bg1"/>
              </a:solidFill>
              <a:effectLst>
                <a:glow rad="101600">
                  <a:schemeClr val="accent4">
                    <a:lumMod val="75000"/>
                    <a:alpha val="60000"/>
                  </a:schemeClr>
                </a:glow>
              </a:effectLst>
              <a:latin typeface="Aptos Narrow"/>
              <a:ea typeface="+mn-ea"/>
              <a:cs typeface="+mn-cs"/>
            </a:rPr>
            <a:t>💰</a:t>
          </a:r>
          <a:r>
            <a:rPr lang="en-IN" sz="1400" b="0" i="0" u="none" strike="noStrike">
              <a:solidFill>
                <a:schemeClr val="bg1"/>
              </a:solidFill>
              <a:effectLst>
                <a:glow rad="101600">
                  <a:schemeClr val="accent4">
                    <a:lumMod val="75000"/>
                    <a:alpha val="60000"/>
                  </a:schemeClr>
                </a:glow>
              </a:effectLst>
              <a:latin typeface="Aptos Narrow"/>
              <a:ea typeface="+mn-ea"/>
              <a:cs typeface="+mn-cs"/>
            </a:rPr>
            <a:t>Amount</a:t>
          </a:r>
        </a:p>
        <a:p>
          <a:pPr algn="ctr"/>
          <a:endParaRPr lang="en-IN" sz="1100"/>
        </a:p>
      </xdr:txBody>
    </xdr:sp>
    <xdr:clientData/>
  </xdr:twoCellAnchor>
  <xdr:twoCellAnchor>
    <xdr:from>
      <xdr:col>0</xdr:col>
      <xdr:colOff>198120</xdr:colOff>
      <xdr:row>16</xdr:row>
      <xdr:rowOff>106621</xdr:rowOff>
    </xdr:from>
    <xdr:to>
      <xdr:col>2</xdr:col>
      <xdr:colOff>541020</xdr:colOff>
      <xdr:row>18</xdr:row>
      <xdr:rowOff>45720</xdr:rowOff>
    </xdr:to>
    <xdr:sp macro="" textlink="">
      <xdr:nvSpPr>
        <xdr:cNvPr id="12" name="TextBox 11">
          <a:extLst>
            <a:ext uri="{FF2B5EF4-FFF2-40B4-BE49-F238E27FC236}">
              <a16:creationId xmlns:a16="http://schemas.microsoft.com/office/drawing/2014/main" id="{23352273-44B4-CB62-BCCD-1D7A16D05A16}"/>
            </a:ext>
          </a:extLst>
        </xdr:cNvPr>
        <xdr:cNvSpPr txBox="1"/>
      </xdr:nvSpPr>
      <xdr:spPr>
        <a:xfrm>
          <a:off x="198120" y="3032701"/>
          <a:ext cx="1562100" cy="3048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IN" sz="1400" b="0" i="0" u="none" strike="noStrike">
              <a:solidFill>
                <a:schemeClr val="bg1"/>
              </a:solidFill>
              <a:effectLst>
                <a:glow rad="101600">
                  <a:schemeClr val="accent4">
                    <a:lumMod val="75000"/>
                    <a:alpha val="60000"/>
                  </a:schemeClr>
                </a:glow>
              </a:effectLst>
              <a:latin typeface="Aptos Narrow"/>
              <a:ea typeface="+mn-ea"/>
              <a:cs typeface="+mn-cs"/>
            </a:rPr>
            <a:t>Avg.Rating</a:t>
          </a:r>
        </a:p>
      </xdr:txBody>
    </xdr:sp>
    <xdr:clientData/>
  </xdr:twoCellAnchor>
  <xdr:twoCellAnchor>
    <xdr:from>
      <xdr:col>10</xdr:col>
      <xdr:colOff>186265</xdr:colOff>
      <xdr:row>3</xdr:row>
      <xdr:rowOff>165101</xdr:rowOff>
    </xdr:from>
    <xdr:to>
      <xdr:col>16</xdr:col>
      <xdr:colOff>77045</xdr:colOff>
      <xdr:row>14</xdr:row>
      <xdr:rowOff>67735</xdr:rowOff>
    </xdr:to>
    <xdr:sp macro="" textlink="">
      <xdr:nvSpPr>
        <xdr:cNvPr id="22" name="Rectangle 21">
          <a:extLst>
            <a:ext uri="{FF2B5EF4-FFF2-40B4-BE49-F238E27FC236}">
              <a16:creationId xmlns:a16="http://schemas.microsoft.com/office/drawing/2014/main" id="{6102E002-751C-EB76-F4ED-D50313E37B13}"/>
            </a:ext>
          </a:extLst>
        </xdr:cNvPr>
        <xdr:cNvSpPr/>
      </xdr:nvSpPr>
      <xdr:spPr>
        <a:xfrm>
          <a:off x="6282265" y="723901"/>
          <a:ext cx="3548380" cy="1951567"/>
        </a:xfrm>
        <a:prstGeom prst="rect">
          <a:avLst/>
        </a:prstGeom>
        <a:solidFill>
          <a:schemeClr val="accent1">
            <a:lumMod val="20000"/>
            <a:lumOff val="80000"/>
          </a:schemeClr>
        </a:solidFill>
        <a:ln>
          <a:solidFill>
            <a:schemeClr val="bg1">
              <a:lumMod val="95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20</xdr:row>
      <xdr:rowOff>160506</xdr:rowOff>
    </xdr:from>
    <xdr:to>
      <xdr:col>2</xdr:col>
      <xdr:colOff>199128</xdr:colOff>
      <xdr:row>22</xdr:row>
      <xdr:rowOff>58567</xdr:rowOff>
    </xdr:to>
    <xdr:sp macro="" textlink="">
      <xdr:nvSpPr>
        <xdr:cNvPr id="13" name="TextBox 12">
          <a:extLst>
            <a:ext uri="{FF2B5EF4-FFF2-40B4-BE49-F238E27FC236}">
              <a16:creationId xmlns:a16="http://schemas.microsoft.com/office/drawing/2014/main" id="{437D9DA9-882D-C304-0A01-0824F11DE413}"/>
            </a:ext>
          </a:extLst>
        </xdr:cNvPr>
        <xdr:cNvSpPr txBox="1"/>
      </xdr:nvSpPr>
      <xdr:spPr>
        <a:xfrm>
          <a:off x="198120" y="3818106"/>
          <a:ext cx="1220208" cy="263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glow rad="101600">
                  <a:schemeClr val="accent4">
                    <a:lumMod val="75000"/>
                    <a:alpha val="60000"/>
                  </a:schemeClr>
                </a:glow>
              </a:effectLst>
              <a:latin typeface="Aptos Narrow"/>
              <a:ea typeface="+mn-ea"/>
              <a:cs typeface="+mn-cs"/>
            </a:rPr>
            <a:t>📅</a:t>
          </a:r>
          <a:r>
            <a:rPr lang="en-IN" sz="1400" b="0" i="0" u="none" strike="noStrike">
              <a:solidFill>
                <a:schemeClr val="bg1"/>
              </a:solidFill>
              <a:effectLst>
                <a:glow rad="101600">
                  <a:schemeClr val="accent4">
                    <a:lumMod val="75000"/>
                    <a:alpha val="60000"/>
                  </a:schemeClr>
                </a:glow>
              </a:effectLst>
              <a:latin typeface="Aptos Narrow"/>
              <a:ea typeface="+mn-ea"/>
              <a:cs typeface="+mn-cs"/>
            </a:rPr>
            <a:t>Avg. Days</a:t>
          </a:r>
        </a:p>
      </xdr:txBody>
    </xdr:sp>
    <xdr:clientData/>
  </xdr:twoCellAnchor>
  <xdr:twoCellAnchor>
    <xdr:from>
      <xdr:col>2</xdr:col>
      <xdr:colOff>389467</xdr:colOff>
      <xdr:row>2</xdr:row>
      <xdr:rowOff>186266</xdr:rowOff>
    </xdr:from>
    <xdr:to>
      <xdr:col>9</xdr:col>
      <xdr:colOff>389467</xdr:colOff>
      <xdr:row>15</xdr:row>
      <xdr:rowOff>16932</xdr:rowOff>
    </xdr:to>
    <xdr:graphicFrame macro="">
      <xdr:nvGraphicFramePr>
        <xdr:cNvPr id="14" name="Chart 13">
          <a:extLst>
            <a:ext uri="{FF2B5EF4-FFF2-40B4-BE49-F238E27FC236}">
              <a16:creationId xmlns:a16="http://schemas.microsoft.com/office/drawing/2014/main" id="{60CBBFA2-67EE-4932-BD7B-71B5B7954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349673</xdr:colOff>
          <xdr:row>6</xdr:row>
          <xdr:rowOff>33020</xdr:rowOff>
        </xdr:from>
        <xdr:to>
          <xdr:col>16</xdr:col>
          <xdr:colOff>17809</xdr:colOff>
          <xdr:row>12</xdr:row>
          <xdr:rowOff>89746</xdr:rowOff>
        </xdr:to>
        <xdr:pic>
          <xdr:nvPicPr>
            <xdr:cNvPr id="27" name="Picture 26">
              <a:extLst>
                <a:ext uri="{FF2B5EF4-FFF2-40B4-BE49-F238E27FC236}">
                  <a16:creationId xmlns:a16="http://schemas.microsoft.com/office/drawing/2014/main" id="{08C9C233-8A4F-32C2-CB1B-2AEB2F72CA5E}"/>
                </a:ext>
              </a:extLst>
            </xdr:cNvPr>
            <xdr:cNvPicPr>
              <a:picLocks noChangeAspect="1" noChangeArrowheads="1"/>
              <a:extLst>
                <a:ext uri="{84589F7E-364E-4C9E-8A38-B11213B215E9}">
                  <a14:cameraTool cellRange="'How they like to buy'!$I$3:$M$8" spid="_x0000_s1105"/>
                </a:ext>
              </a:extLst>
            </xdr:cNvPicPr>
          </xdr:nvPicPr>
          <xdr:blipFill>
            <a:blip xmlns:r="http://schemas.openxmlformats.org/officeDocument/2006/relationships" r:embed="rId2"/>
            <a:srcRect/>
            <a:stretch>
              <a:fillRect/>
            </a:stretch>
          </xdr:blipFill>
          <xdr:spPr bwMode="auto">
            <a:xfrm>
              <a:off x="6445673" y="1150620"/>
              <a:ext cx="3325736" cy="117432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240453</xdr:colOff>
      <xdr:row>4</xdr:row>
      <xdr:rowOff>15240</xdr:rowOff>
    </xdr:from>
    <xdr:to>
      <xdr:col>14</xdr:col>
      <xdr:colOff>141393</xdr:colOff>
      <xdr:row>5</xdr:row>
      <xdr:rowOff>30481</xdr:rowOff>
    </xdr:to>
    <xdr:sp macro="" textlink="">
      <xdr:nvSpPr>
        <xdr:cNvPr id="28" name="TextBox 27">
          <a:extLst>
            <a:ext uri="{FF2B5EF4-FFF2-40B4-BE49-F238E27FC236}">
              <a16:creationId xmlns:a16="http://schemas.microsoft.com/office/drawing/2014/main" id="{9B18D0CB-5704-2C32-E300-9400CF83E7BC}"/>
            </a:ext>
          </a:extLst>
        </xdr:cNvPr>
        <xdr:cNvSpPr txBox="1"/>
      </xdr:nvSpPr>
      <xdr:spPr>
        <a:xfrm>
          <a:off x="6336453" y="760307"/>
          <a:ext cx="2339340" cy="2015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u="sng"/>
            <a:t>How</a:t>
          </a:r>
          <a:r>
            <a:rPr lang="en-IN" sz="1100" b="1" u="sng" baseline="0"/>
            <a:t> they like to buy?</a:t>
          </a:r>
          <a:endParaRPr lang="en-IN" sz="1100" b="1" u="sng"/>
        </a:p>
      </xdr:txBody>
    </xdr:sp>
    <xdr:clientData/>
  </xdr:twoCellAnchor>
  <xdr:twoCellAnchor>
    <xdr:from>
      <xdr:col>17</xdr:col>
      <xdr:colOff>192194</xdr:colOff>
      <xdr:row>3</xdr:row>
      <xdr:rowOff>12699</xdr:rowOff>
    </xdr:from>
    <xdr:to>
      <xdr:col>24</xdr:col>
      <xdr:colOff>584200</xdr:colOff>
      <xdr:row>14</xdr:row>
      <xdr:rowOff>67734</xdr:rowOff>
    </xdr:to>
    <xdr:graphicFrame macro="">
      <xdr:nvGraphicFramePr>
        <xdr:cNvPr id="29" name="Chart 28">
          <a:extLst>
            <a:ext uri="{FF2B5EF4-FFF2-40B4-BE49-F238E27FC236}">
              <a16:creationId xmlns:a16="http://schemas.microsoft.com/office/drawing/2014/main" id="{45B30F8D-9228-487C-94D8-9AA5176A5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414867</xdr:colOff>
      <xdr:row>15</xdr:row>
      <xdr:rowOff>152400</xdr:rowOff>
    </xdr:from>
    <xdr:to>
      <xdr:col>9</xdr:col>
      <xdr:colOff>381000</xdr:colOff>
      <xdr:row>39</xdr:row>
      <xdr:rowOff>110066</xdr:rowOff>
    </xdr:to>
    <xdr:graphicFrame macro="">
      <xdr:nvGraphicFramePr>
        <xdr:cNvPr id="30" name="Chart 29">
          <a:extLst>
            <a:ext uri="{FF2B5EF4-FFF2-40B4-BE49-F238E27FC236}">
              <a16:creationId xmlns:a16="http://schemas.microsoft.com/office/drawing/2014/main" id="{857F1DC6-439D-40B4-AD74-95DB29698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270932</xdr:colOff>
      <xdr:row>29</xdr:row>
      <xdr:rowOff>84666</xdr:rowOff>
    </xdr:from>
    <xdr:to>
      <xdr:col>7</xdr:col>
      <xdr:colOff>355599</xdr:colOff>
      <xdr:row>39</xdr:row>
      <xdr:rowOff>16932</xdr:rowOff>
    </xdr:to>
    <xdr:graphicFrame macro="">
      <xdr:nvGraphicFramePr>
        <xdr:cNvPr id="31" name="Chart 30">
          <a:extLst>
            <a:ext uri="{FF2B5EF4-FFF2-40B4-BE49-F238E27FC236}">
              <a16:creationId xmlns:a16="http://schemas.microsoft.com/office/drawing/2014/main" id="{D5283F1C-2FF0-478B-AC73-AE23EABB6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500379</xdr:colOff>
      <xdr:row>14</xdr:row>
      <xdr:rowOff>160868</xdr:rowOff>
    </xdr:from>
    <xdr:to>
      <xdr:col>25</xdr:col>
      <xdr:colOff>8466</xdr:colOff>
      <xdr:row>27</xdr:row>
      <xdr:rowOff>101600</xdr:rowOff>
    </xdr:to>
    <xdr:graphicFrame macro="">
      <xdr:nvGraphicFramePr>
        <xdr:cNvPr id="34" name="Chart 33">
          <a:extLst>
            <a:ext uri="{FF2B5EF4-FFF2-40B4-BE49-F238E27FC236}">
              <a16:creationId xmlns:a16="http://schemas.microsoft.com/office/drawing/2014/main" id="{BFA4E612-7497-4859-B589-AF99C26ED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314113</xdr:colOff>
      <xdr:row>17</xdr:row>
      <xdr:rowOff>0</xdr:rowOff>
    </xdr:from>
    <xdr:to>
      <xdr:col>16</xdr:col>
      <xdr:colOff>474133</xdr:colOff>
      <xdr:row>40</xdr:row>
      <xdr:rowOff>59265</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81659F47-F419-4822-A6A2-C3D06FD59E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800513" y="3291840"/>
              <a:ext cx="4427220" cy="42655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517313</xdr:colOff>
      <xdr:row>27</xdr:row>
      <xdr:rowOff>127001</xdr:rowOff>
    </xdr:from>
    <xdr:to>
      <xdr:col>25</xdr:col>
      <xdr:colOff>8467</xdr:colOff>
      <xdr:row>40</xdr:row>
      <xdr:rowOff>50800</xdr:rowOff>
    </xdr:to>
    <xdr:graphicFrame macro="">
      <xdr:nvGraphicFramePr>
        <xdr:cNvPr id="15" name="Chart 14">
          <a:extLst>
            <a:ext uri="{FF2B5EF4-FFF2-40B4-BE49-F238E27FC236}">
              <a16:creationId xmlns:a16="http://schemas.microsoft.com/office/drawing/2014/main" id="{51F5229D-D3AF-4502-A812-781C37AFD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110067</xdr:colOff>
      <xdr:row>24</xdr:row>
      <xdr:rowOff>50800</xdr:rowOff>
    </xdr:from>
    <xdr:to>
      <xdr:col>2</xdr:col>
      <xdr:colOff>253999</xdr:colOff>
      <xdr:row>34</xdr:row>
      <xdr:rowOff>16933</xdr:rowOff>
    </xdr:to>
    <mc:AlternateContent xmlns:mc="http://schemas.openxmlformats.org/markup-compatibility/2006" xmlns:a14="http://schemas.microsoft.com/office/drawing/2010/main">
      <mc:Choice Requires="a14">
        <xdr:graphicFrame macro="">
          <xdr:nvGraphicFramePr>
            <xdr:cNvPr id="17" name="Order Mode 1">
              <a:extLst>
                <a:ext uri="{FF2B5EF4-FFF2-40B4-BE49-F238E27FC236}">
                  <a16:creationId xmlns:a16="http://schemas.microsoft.com/office/drawing/2014/main" id="{C1DD0870-84DF-4BC6-BE20-3D9F462C2768}"/>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10067" y="4699000"/>
              <a:ext cx="1363132"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34</xdr:row>
      <xdr:rowOff>84667</xdr:rowOff>
    </xdr:from>
    <xdr:to>
      <xdr:col>2</xdr:col>
      <xdr:colOff>270934</xdr:colOff>
      <xdr:row>42</xdr:row>
      <xdr:rowOff>42333</xdr:rowOff>
    </xdr:to>
    <mc:AlternateContent xmlns:mc="http://schemas.openxmlformats.org/markup-compatibility/2006" xmlns:a14="http://schemas.microsoft.com/office/drawing/2010/main">
      <mc:Choice Requires="a14">
        <xdr:graphicFrame macro="">
          <xdr:nvGraphicFramePr>
            <xdr:cNvPr id="19" name="Gender Value">
              <a:extLst>
                <a:ext uri="{FF2B5EF4-FFF2-40B4-BE49-F238E27FC236}">
                  <a16:creationId xmlns:a16="http://schemas.microsoft.com/office/drawing/2014/main" id="{B2152C95-285D-422B-8181-0105AC85FF18}"/>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01600" y="6595534"/>
              <a:ext cx="1388534"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50800</xdr:colOff>
      <xdr:row>0</xdr:row>
      <xdr:rowOff>110066</xdr:rowOff>
    </xdr:from>
    <xdr:to>
      <xdr:col>2</xdr:col>
      <xdr:colOff>374930</xdr:colOff>
      <xdr:row>2</xdr:row>
      <xdr:rowOff>1815</xdr:rowOff>
    </xdr:to>
    <xdr:pic>
      <xdr:nvPicPr>
        <xdr:cNvPr id="21" name="Picture 20">
          <a:extLst>
            <a:ext uri="{FF2B5EF4-FFF2-40B4-BE49-F238E27FC236}">
              <a16:creationId xmlns:a16="http://schemas.microsoft.com/office/drawing/2014/main" id="{9D209A33-9B25-4DFB-A2AE-6EAF566F3110}"/>
            </a:ext>
          </a:extLst>
        </xdr:cNvPr>
        <xdr:cNvPicPr>
          <a:picLocks noChangeAspect="1"/>
        </xdr:cNvPicPr>
      </xdr:nvPicPr>
      <xdr:blipFill>
        <a:blip xmlns:r="http://schemas.openxmlformats.org/officeDocument/2006/relationships" r:embed="rId9" cstate="print">
          <a:duotone>
            <a:prstClr val="black"/>
            <a:schemeClr val="accent2">
              <a:tint val="45000"/>
              <a:satMod val="400000"/>
            </a:schemeClr>
          </a:duotone>
          <a:extLst>
            <a:ext uri="{28A0092B-C50C-407E-A947-70E740481C1C}">
              <a14:useLocalDpi xmlns:a14="http://schemas.microsoft.com/office/drawing/2010/main" val="0"/>
            </a:ext>
          </a:extLst>
        </a:blip>
        <a:srcRect/>
        <a:stretch/>
      </xdr:blipFill>
      <xdr:spPr>
        <a:xfrm>
          <a:off x="50800" y="110066"/>
          <a:ext cx="1543330" cy="4420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wmiya" refreshedDate="46229.990542361113" createdVersion="8" refreshedVersion="8" minRefreshableVersion="3" recordCount="2400" xr:uid="{45F1318D-A6AE-440E-92B5-2BBB31D4413D}">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7747172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5A57FA-761D-402A-963A-9B2584A74D3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3:C27"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6AC0EA-9388-4770-A985-D09178E4D4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5"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h="1" x="3"/>
        <item h="1" x="4"/>
        <item h="1" x="2"/>
        <item h="1"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789599-60EC-4660-98DC-D05CA115EF4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67:B83"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h="1" x="3"/>
        <item h="1"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0"/>
        <item x="3"/>
        <item x="1"/>
        <item x="2"/>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C1071B-86CA-4B8A-993F-E1437B71B23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27">
  <location ref="K47:M106" firstHeaderRow="1" firstDataRow="1" firstDataCol="2"/>
  <pivotFields count="18">
    <pivotField compact="0" showAll="0">
      <extLst>
        <ext xmlns:x14="http://schemas.microsoft.com/office/spreadsheetml/2009/9/main" uri="{2946ED86-A175-432a-8AC1-64E0C546D7DE}">
          <x14:pivotField fillDownLabels="1"/>
        </ext>
      </extLst>
    </pivotField>
    <pivotField compact="0"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showAll="0">
      <extLst>
        <ext xmlns:x14="http://schemas.microsoft.com/office/spreadsheetml/2009/9/main" uri="{2946ED86-A175-432a-8AC1-64E0C546D7DE}">
          <x14:pivotField fillDownLabels="1"/>
        </ext>
      </extLst>
    </pivotField>
    <pivotField compact="0" showAll="0">
      <items count="5">
        <item x="0"/>
        <item x="2"/>
        <item x="1"/>
        <item x="3"/>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axis="axisRow" compact="0" showAll="0">
      <items count="2">
        <item x="0"/>
        <item t="default"/>
      </items>
      <extLst>
        <ext xmlns:x14="http://schemas.microsoft.com/office/spreadsheetml/2009/9/main" uri="{2946ED86-A175-432a-8AC1-64E0C546D7DE}">
          <x14:pivotField fillDownLabels="1"/>
        </ext>
      </extLst>
    </pivotField>
    <pivotField axis="axisRow" compact="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showAll="0">
      <extLst>
        <ext xmlns:x14="http://schemas.microsoft.com/office/spreadsheetml/2009/9/main" uri="{2946ED86-A175-432a-8AC1-64E0C546D7DE}">
          <x14:pivotField fillDownLabels="1"/>
        </ext>
      </extLst>
    </pivotField>
    <pivotField compact="0" showAll="0">
      <items count="14">
        <item x="0"/>
        <item x="1"/>
        <item x="2"/>
        <item x="3"/>
        <item x="4"/>
        <item x="5"/>
        <item x="6"/>
        <item x="7"/>
        <item x="8"/>
        <item x="9"/>
        <item x="10"/>
        <item x="11"/>
        <item x="12"/>
        <item t="default"/>
      </items>
      <extLst>
        <ext xmlns:x14="http://schemas.microsoft.com/office/spreadsheetml/2009/9/main" uri="{2946ED86-A175-432a-8AC1-64E0C546D7DE}">
          <x14:pivotField fillDownLabels="1"/>
        </ext>
      </extLst>
    </pivotField>
    <pivotField compact="0" showAll="0">
      <items count="5">
        <item x="0"/>
        <item x="3"/>
        <item x="1"/>
        <item x="2"/>
        <item t="default"/>
      </items>
      <extLst>
        <ext xmlns:x14="http://schemas.microsoft.com/office/spreadsheetml/2009/9/main" uri="{2946ED86-A175-432a-8AC1-64E0C546D7DE}">
          <x14:pivotField fillDownLabels="1"/>
        </ext>
      </extLst>
    </pivotField>
    <pivotField compact="0" showAll="0">
      <items count="8">
        <item x="0"/>
        <item x="1"/>
        <item x="2"/>
        <item x="4"/>
        <item x="3"/>
        <item x="5"/>
        <item x="6"/>
        <item t="default"/>
      </items>
      <extLst>
        <ext xmlns:x14="http://schemas.microsoft.com/office/spreadsheetml/2009/9/main" uri="{2946ED86-A175-432a-8AC1-64E0C546D7DE}">
          <x14:pivotField fillDownLabels="1"/>
        </ext>
      </extLst>
    </pivotField>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5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D034EC-03D3-4809-AD78-DFC393622D9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5:F57"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h="1"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0"/>
        <item x="3"/>
        <item x="1"/>
        <item x="2"/>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6"/>
    </i>
    <i>
      <x v="18"/>
    </i>
    <i>
      <x v="13"/>
    </i>
    <i>
      <x v="12"/>
    </i>
    <i>
      <x v="16"/>
    </i>
    <i>
      <x v="1"/>
    </i>
    <i>
      <x v="3"/>
    </i>
    <i>
      <x v="5"/>
    </i>
    <i>
      <x v="14"/>
    </i>
    <i>
      <x v="4"/>
    </i>
    <i>
      <x v="11"/>
    </i>
    <i>
      <x v="2"/>
    </i>
    <i>
      <x v="8"/>
    </i>
    <i>
      <x v="19"/>
    </i>
    <i>
      <x v="9"/>
    </i>
    <i>
      <x v="17"/>
    </i>
    <i>
      <x v="15"/>
    </i>
    <i>
      <x/>
    </i>
    <i>
      <x v="10"/>
    </i>
    <i>
      <x v="7"/>
    </i>
    <i t="grand">
      <x/>
    </i>
  </rowItems>
  <colFields count="1">
    <field x="14"/>
  </colFields>
  <colItems count="5">
    <i>
      <x/>
    </i>
    <i>
      <x v="1"/>
    </i>
    <i>
      <x v="2"/>
    </i>
    <i>
      <x v="3"/>
    </i>
    <i t="grand">
      <x/>
    </i>
  </colItems>
  <dataFields count="1">
    <dataField name="Sum of Quantity" fld="2" baseField="0" baseItem="0"/>
  </dataFields>
  <chartFormats count="4">
    <chartFormat chart="26" format="8" series="1">
      <pivotArea type="data" outline="0" fieldPosition="0">
        <references count="2">
          <reference field="4294967294" count="1" selected="0">
            <x v="0"/>
          </reference>
          <reference field="14" count="1" selected="0">
            <x v="0"/>
          </reference>
        </references>
      </pivotArea>
    </chartFormat>
    <chartFormat chart="26" format="9" series="1">
      <pivotArea type="data" outline="0" fieldPosition="0">
        <references count="2">
          <reference field="4294967294" count="1" selected="0">
            <x v="0"/>
          </reference>
          <reference field="14" count="1" selected="0">
            <x v="1"/>
          </reference>
        </references>
      </pivotArea>
    </chartFormat>
    <chartFormat chart="26" format="10" series="1">
      <pivotArea type="data" outline="0" fieldPosition="0">
        <references count="2">
          <reference field="4294967294" count="1" selected="0">
            <x v="0"/>
          </reference>
          <reference field="14" count="1" selected="0">
            <x v="2"/>
          </reference>
        </references>
      </pivotArea>
    </chartFormat>
    <chartFormat chart="26"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EA29BD-B4A5-41DD-A5F3-AD5CA0D0A81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L33:M3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h="1" x="3"/>
        <item h="1"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v="3"/>
    </i>
    <i>
      <x v="2"/>
    </i>
    <i>
      <x/>
    </i>
    <i>
      <x v="1"/>
    </i>
    <i t="grand">
      <x/>
    </i>
  </rowItems>
  <colItems count="1">
    <i/>
  </colItems>
  <dataFields count="1">
    <dataField name="Sum of Quantity" fld="2" baseField="0" baseItem="0"/>
  </dataFields>
  <chartFormats count="13">
    <chartFormat chart="24" format="0" series="1">
      <pivotArea type="data" outline="0" fieldPosition="0">
        <references count="2">
          <reference field="4294967294" count="1" selected="0">
            <x v="0"/>
          </reference>
          <reference field="14" count="1" selected="0">
            <x v="0"/>
          </reference>
        </references>
      </pivotArea>
    </chartFormat>
    <chartFormat chart="24" format="1" series="1">
      <pivotArea type="data" outline="0" fieldPosition="0">
        <references count="2">
          <reference field="4294967294" count="1" selected="0">
            <x v="0"/>
          </reference>
          <reference field="14" count="1" selected="0">
            <x v="1"/>
          </reference>
        </references>
      </pivotArea>
    </chartFormat>
    <chartFormat chart="24" format="2" series="1">
      <pivotArea type="data" outline="0" fieldPosition="0">
        <references count="2">
          <reference field="4294967294" count="1" selected="0">
            <x v="0"/>
          </reference>
          <reference field="14" count="1" selected="0">
            <x v="2"/>
          </reference>
        </references>
      </pivotArea>
    </chartFormat>
    <chartFormat chart="24" format="3" series="1">
      <pivotArea type="data" outline="0" fieldPosition="0">
        <references count="2">
          <reference field="4294967294" count="1" selected="0">
            <x v="0"/>
          </reference>
          <reference field="14" count="1" selected="0">
            <x v="3"/>
          </reference>
        </references>
      </pivotArea>
    </chartFormat>
    <chartFormat chart="26" format="8" series="1">
      <pivotArea type="data" outline="0" fieldPosition="0">
        <references count="2">
          <reference field="4294967294" count="1" selected="0">
            <x v="0"/>
          </reference>
          <reference field="14" count="1" selected="0">
            <x v="0"/>
          </reference>
        </references>
      </pivotArea>
    </chartFormat>
    <chartFormat chart="26" format="9" series="1">
      <pivotArea type="data" outline="0" fieldPosition="0">
        <references count="2">
          <reference field="4294967294" count="1" selected="0">
            <x v="0"/>
          </reference>
          <reference field="14" count="1" selected="0">
            <x v="1"/>
          </reference>
        </references>
      </pivotArea>
    </chartFormat>
    <chartFormat chart="26" format="10" series="1">
      <pivotArea type="data" outline="0" fieldPosition="0">
        <references count="2">
          <reference field="4294967294" count="1" selected="0">
            <x v="0"/>
          </reference>
          <reference field="14" count="1" selected="0">
            <x v="2"/>
          </reference>
        </references>
      </pivotArea>
    </chartFormat>
    <chartFormat chart="26" format="11" series="1">
      <pivotArea type="data" outline="0" fieldPosition="0">
        <references count="2">
          <reference field="4294967294" count="1" selected="0">
            <x v="0"/>
          </reference>
          <reference field="14" count="1" selected="0">
            <x v="3"/>
          </reference>
        </references>
      </pivotArea>
    </chartFormat>
    <chartFormat chart="33" format="10" series="1">
      <pivotArea type="data" outline="0" fieldPosition="0">
        <references count="1">
          <reference field="4294967294" count="1" selected="0">
            <x v="0"/>
          </reference>
        </references>
      </pivotArea>
    </chartFormat>
    <chartFormat chart="33" format="11">
      <pivotArea type="data" outline="0" fieldPosition="0">
        <references count="2">
          <reference field="4294967294" count="1" selected="0">
            <x v="0"/>
          </reference>
          <reference field="14" count="1" selected="0">
            <x v="3"/>
          </reference>
        </references>
      </pivotArea>
    </chartFormat>
    <chartFormat chart="33" format="12">
      <pivotArea type="data" outline="0" fieldPosition="0">
        <references count="2">
          <reference field="4294967294" count="1" selected="0">
            <x v="0"/>
          </reference>
          <reference field="14" count="1" selected="0">
            <x v="2"/>
          </reference>
        </references>
      </pivotArea>
    </chartFormat>
    <chartFormat chart="33" format="13">
      <pivotArea type="data" outline="0" fieldPosition="0">
        <references count="2">
          <reference field="4294967294" count="1" selected="0">
            <x v="0"/>
          </reference>
          <reference field="14" count="1" selected="0">
            <x v="0"/>
          </reference>
        </references>
      </pivotArea>
    </chartFormat>
    <chartFormat chart="33" format="1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4C0D1B-14D9-4C73-B454-347D770FD88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139:G144"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h="1" x="3"/>
        <item h="1" x="4"/>
        <item h="1" x="2"/>
        <item h="1"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0"/>
        <item x="3"/>
        <item x="1"/>
        <item x="2"/>
        <item t="default"/>
      </items>
    </pivotField>
    <pivotField showAll="0">
      <items count="8">
        <item x="0"/>
        <item x="1"/>
        <item x="2"/>
        <item x="4"/>
        <item x="3"/>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2">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8" format="0" series="1">
      <pivotArea type="data" outline="0" fieldPosition="0">
        <references count="2">
          <reference field="4294967294" count="1" selected="0">
            <x v="0"/>
          </reference>
          <reference field="9" count="1" selected="0">
            <x v="0"/>
          </reference>
        </references>
      </pivotArea>
    </chartFormat>
    <chartFormat chart="38" format="1" series="1">
      <pivotArea type="data" outline="0" fieldPosition="0">
        <references count="2">
          <reference field="4294967294" count="1" selected="0">
            <x v="0"/>
          </reference>
          <reference field="9" count="1" selected="0">
            <x v="1"/>
          </reference>
        </references>
      </pivotArea>
    </chartFormat>
    <chartFormat chart="38" format="2" series="1">
      <pivotArea type="data" outline="0" fieldPosition="0">
        <references count="2">
          <reference field="4294967294" count="1" selected="0">
            <x v="0"/>
          </reference>
          <reference field="9" count="1" selected="0">
            <x v="2"/>
          </reference>
        </references>
      </pivotArea>
    </chartFormat>
    <chartFormat chart="38" format="3" series="1">
      <pivotArea type="data" outline="0" fieldPosition="0">
        <references count="2">
          <reference field="4294967294" count="1" selected="0">
            <x v="0"/>
          </reference>
          <reference field="9" count="1" selected="0">
            <x v="3"/>
          </reference>
        </references>
      </pivotArea>
    </chartFormat>
    <chartFormat chart="38" format="4" series="1">
      <pivotArea type="data" outline="0" fieldPosition="0">
        <references count="2">
          <reference field="4294967294" count="1" selected="0">
            <x v="0"/>
          </reference>
          <reference field="9" count="1" selected="0">
            <x v="4"/>
          </reference>
        </references>
      </pivotArea>
    </chartFormat>
    <chartFormat chart="40" format="10" series="1">
      <pivotArea type="data" outline="0" fieldPosition="0">
        <references count="2">
          <reference field="4294967294" count="1" selected="0">
            <x v="0"/>
          </reference>
          <reference field="9" count="1" selected="0">
            <x v="0"/>
          </reference>
        </references>
      </pivotArea>
    </chartFormat>
    <chartFormat chart="40" format="11" series="1">
      <pivotArea type="data" outline="0" fieldPosition="0">
        <references count="2">
          <reference field="4294967294" count="1" selected="0">
            <x v="0"/>
          </reference>
          <reference field="9" count="1" selected="0">
            <x v="1"/>
          </reference>
        </references>
      </pivotArea>
    </chartFormat>
    <chartFormat chart="40" format="12" series="1">
      <pivotArea type="data" outline="0" fieldPosition="0">
        <references count="2">
          <reference field="4294967294" count="1" selected="0">
            <x v="0"/>
          </reference>
          <reference field="9" count="1" selected="0">
            <x v="2"/>
          </reference>
        </references>
      </pivotArea>
    </chartFormat>
    <chartFormat chart="40" format="13" series="1">
      <pivotArea type="data" outline="0" fieldPosition="0">
        <references count="2">
          <reference field="4294967294" count="1" selected="0">
            <x v="0"/>
          </reference>
          <reference field="9" count="1" selected="0">
            <x v="3"/>
          </reference>
        </references>
      </pivotArea>
    </chartFormat>
    <chartFormat chart="40"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3BCFD3-99C9-49E0-B42F-1CBD6FBE8C6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B25"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h="1" x="3"/>
        <item h="1" x="4"/>
        <item h="1" x="2"/>
        <item h="1"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232E4A-B162-4684-BAF4-4E765891D8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C45EACB-22D2-4511-B03B-43B9EC9F2DBD}" sourceName="Order Mode">
  <pivotTables>
    <pivotTable tabId="6" name="PivotTable8"/>
    <pivotTable tabId="6" name="PivotTable1"/>
    <pivotTable tabId="6" name="PivotTable2"/>
    <pivotTable tabId="6" name="PivotTable5"/>
    <pivotTable tabId="6" name="PivotTable6"/>
    <pivotTable tabId="6" name="PivotTable9"/>
    <pivotTable tabId="7" name="PivotTable4"/>
  </pivotTables>
  <data>
    <tabular pivotCacheId="774717283">
      <items count="5">
        <i x="0" s="1"/>
        <i x="3"/>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37E1C44C-FFB2-457E-B272-A32C7D4A65A8}" sourceName="Gender Value">
  <pivotTables>
    <pivotTable tabId="6" name="PivotTable8"/>
    <pivotTable tabId="7" name="PivotTable4"/>
    <pivotTable tabId="6" name="PivotTable1"/>
    <pivotTable tabId="6" name="PivotTable2"/>
    <pivotTable tabId="6" name="PivotTable9"/>
    <pivotTable tabId="7" name="PivotTable3"/>
  </pivotTables>
  <data>
    <tabular pivotCacheId="77471728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ECFADA16-5B56-43D3-98BE-602F2B83FDA2}" cache="Slicer_Order_Mode" caption="Order Mode" style="SlicerStyleOther2" rowHeight="247650"/>
  <slicer name="Gender Value" xr10:uid="{700C58E2-D490-4EBF-87BC-F9AF9ABBCA07}" cache="Slicer_Gender_Value" caption="Gender Value" startItem="1"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2" sqref="B12"/>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B386E-9977-4A17-9DC1-41DDBB694DE5}">
  <dimension ref="A2:P144"/>
  <sheetViews>
    <sheetView showGridLines="0" workbookViewId="0">
      <selection activeCell="J39" sqref="J39"/>
    </sheetView>
  </sheetViews>
  <sheetFormatPr defaultRowHeight="14.4" x14ac:dyDescent="0.3"/>
  <cols>
    <col min="1" max="1" width="12.44140625" bestFit="1" customWidth="1"/>
    <col min="2" max="2" width="12.21875" bestFit="1" customWidth="1"/>
    <col min="3" max="3" width="11.33203125" customWidth="1"/>
    <col min="4" max="4" width="5" bestFit="1" customWidth="1"/>
    <col min="5" max="5" width="7.21875" bestFit="1" customWidth="1"/>
    <col min="6" max="7" width="10.5546875" bestFit="1" customWidth="1"/>
    <col min="8" max="11" width="9" bestFit="1" customWidth="1"/>
    <col min="12" max="12" width="12.44140625" bestFit="1" customWidth="1"/>
    <col min="13" max="13" width="14.21875" bestFit="1" customWidth="1"/>
    <col min="14" max="32" width="9" bestFit="1" customWidth="1"/>
    <col min="33" max="89" width="9.44140625" bestFit="1" customWidth="1"/>
    <col min="90" max="90" width="10.5546875" bestFit="1" customWidth="1"/>
  </cols>
  <sheetData>
    <row r="2" spans="1:13" x14ac:dyDescent="0.3">
      <c r="A2" s="5" t="s">
        <v>2524</v>
      </c>
      <c r="B2" s="5" t="s">
        <v>2525</v>
      </c>
      <c r="I2" t="s">
        <v>2526</v>
      </c>
    </row>
    <row r="4" spans="1:13" x14ac:dyDescent="0.3">
      <c r="A4" t="s">
        <v>2519</v>
      </c>
      <c r="B4" t="s">
        <v>2520</v>
      </c>
      <c r="C4" t="s">
        <v>2521</v>
      </c>
      <c r="D4" t="s">
        <v>2522</v>
      </c>
      <c r="E4" t="s">
        <v>2523</v>
      </c>
      <c r="I4" t="s">
        <v>2518</v>
      </c>
      <c r="J4" t="s">
        <v>2527</v>
      </c>
      <c r="K4" t="s">
        <v>4</v>
      </c>
      <c r="L4" t="s">
        <v>2528</v>
      </c>
      <c r="M4" t="s">
        <v>2529</v>
      </c>
    </row>
    <row r="5" spans="1:13" x14ac:dyDescent="0.3">
      <c r="A5">
        <v>868</v>
      </c>
      <c r="B5">
        <v>4220</v>
      </c>
      <c r="C5">
        <v>229393.50000000023</v>
      </c>
      <c r="D5">
        <v>3.9965437788018434</v>
      </c>
      <c r="E5">
        <v>2.5184331797235022</v>
      </c>
      <c r="I5" t="str">
        <f>TEXT(A5,"#,##0")</f>
        <v>868</v>
      </c>
      <c r="J5" t="str">
        <f t="shared" ref="J5" si="0">TEXT(B5,"#,##0")</f>
        <v>4,220</v>
      </c>
      <c r="K5" t="str">
        <f>TEXT(C5,"$#,##,.0K")</f>
        <v>$229.4K</v>
      </c>
      <c r="L5" t="str">
        <f>TEXT(D5,"0.0")</f>
        <v>4.0</v>
      </c>
      <c r="M5" t="str">
        <f>TEXT(E5,"0.0")</f>
        <v>2.5</v>
      </c>
    </row>
    <row r="11" spans="1:13" x14ac:dyDescent="0.3">
      <c r="A11" s="5" t="s">
        <v>2530</v>
      </c>
      <c r="B11" s="5" t="s">
        <v>2531</v>
      </c>
      <c r="C11" s="6"/>
    </row>
    <row r="13" spans="1:13" x14ac:dyDescent="0.3">
      <c r="A13" s="7" t="s">
        <v>2532</v>
      </c>
      <c r="B13" t="s">
        <v>2520</v>
      </c>
      <c r="C13" t="s">
        <v>2521</v>
      </c>
    </row>
    <row r="14" spans="1:13" x14ac:dyDescent="0.3">
      <c r="A14" s="8">
        <v>1</v>
      </c>
      <c r="B14">
        <v>211</v>
      </c>
      <c r="C14" s="9">
        <v>11642</v>
      </c>
    </row>
    <row r="15" spans="1:13" x14ac:dyDescent="0.3">
      <c r="A15" s="8">
        <v>2</v>
      </c>
      <c r="B15">
        <v>304</v>
      </c>
      <c r="C15" s="9">
        <v>17823.7</v>
      </c>
    </row>
    <row r="16" spans="1:13" x14ac:dyDescent="0.3">
      <c r="A16" s="8">
        <v>3</v>
      </c>
      <c r="B16">
        <v>262</v>
      </c>
      <c r="C16" s="9">
        <v>12389.9</v>
      </c>
    </row>
    <row r="17" spans="1:16" x14ac:dyDescent="0.3">
      <c r="A17" s="8">
        <v>4</v>
      </c>
      <c r="B17">
        <v>265</v>
      </c>
      <c r="C17" s="9">
        <v>15169.500000000004</v>
      </c>
    </row>
    <row r="18" spans="1:16" x14ac:dyDescent="0.3">
      <c r="A18" s="8">
        <v>5</v>
      </c>
      <c r="B18">
        <v>315</v>
      </c>
      <c r="C18" s="9">
        <v>15742.1</v>
      </c>
    </row>
    <row r="19" spans="1:16" x14ac:dyDescent="0.3">
      <c r="A19" s="8">
        <v>6</v>
      </c>
      <c r="B19">
        <v>448</v>
      </c>
      <c r="C19" s="9">
        <v>22307.799999999996</v>
      </c>
    </row>
    <row r="20" spans="1:16" x14ac:dyDescent="0.3">
      <c r="A20" s="8">
        <v>7</v>
      </c>
      <c r="B20">
        <v>339</v>
      </c>
      <c r="C20" s="9">
        <v>17440.099999999995</v>
      </c>
    </row>
    <row r="21" spans="1:16" x14ac:dyDescent="0.3">
      <c r="A21" s="8">
        <v>8</v>
      </c>
      <c r="B21">
        <v>393</v>
      </c>
      <c r="C21" s="9">
        <v>18864.500000000004</v>
      </c>
    </row>
    <row r="22" spans="1:16" x14ac:dyDescent="0.3">
      <c r="A22" s="8">
        <v>9</v>
      </c>
      <c r="B22">
        <v>434</v>
      </c>
      <c r="C22" s="9">
        <v>25660.899999999994</v>
      </c>
    </row>
    <row r="23" spans="1:16" x14ac:dyDescent="0.3">
      <c r="A23" s="8">
        <v>10</v>
      </c>
      <c r="B23">
        <v>413</v>
      </c>
      <c r="C23" s="9">
        <v>21198.799999999999</v>
      </c>
    </row>
    <row r="24" spans="1:16" x14ac:dyDescent="0.3">
      <c r="A24" s="8">
        <v>11</v>
      </c>
      <c r="B24">
        <v>280</v>
      </c>
      <c r="C24" s="9">
        <v>14714.600000000008</v>
      </c>
    </row>
    <row r="25" spans="1:16" x14ac:dyDescent="0.3">
      <c r="A25" s="8">
        <v>12</v>
      </c>
      <c r="B25">
        <v>297</v>
      </c>
      <c r="C25" s="9">
        <v>17761.400000000001</v>
      </c>
    </row>
    <row r="26" spans="1:16" x14ac:dyDescent="0.3">
      <c r="A26" s="8">
        <v>13</v>
      </c>
      <c r="B26">
        <v>259</v>
      </c>
      <c r="C26" s="9">
        <v>18678.2</v>
      </c>
    </row>
    <row r="27" spans="1:16" x14ac:dyDescent="0.3">
      <c r="A27" s="8" t="s">
        <v>2533</v>
      </c>
      <c r="B27">
        <v>4220</v>
      </c>
      <c r="C27" s="9">
        <v>229393.5</v>
      </c>
    </row>
    <row r="31" spans="1:16" x14ac:dyDescent="0.3">
      <c r="A31" s="15" t="s">
        <v>2539</v>
      </c>
      <c r="B31" s="15" t="s">
        <v>2544</v>
      </c>
      <c r="L31" s="5" t="s">
        <v>2541</v>
      </c>
      <c r="M31" s="5" t="s">
        <v>2546</v>
      </c>
      <c r="N31" s="5"/>
      <c r="O31" s="5"/>
      <c r="P31" s="5"/>
    </row>
    <row r="33" spans="1:13" x14ac:dyDescent="0.3">
      <c r="L33" s="7" t="s">
        <v>2532</v>
      </c>
      <c r="M33" t="s">
        <v>2520</v>
      </c>
    </row>
    <row r="34" spans="1:13" x14ac:dyDescent="0.3">
      <c r="L34" s="8" t="s">
        <v>2535</v>
      </c>
      <c r="M34">
        <v>2240</v>
      </c>
    </row>
    <row r="35" spans="1:13" x14ac:dyDescent="0.3">
      <c r="A35" s="7" t="s">
        <v>2520</v>
      </c>
      <c r="B35" s="7" t="s">
        <v>2534</v>
      </c>
      <c r="L35" s="8" t="s">
        <v>2536</v>
      </c>
      <c r="M35">
        <v>1605</v>
      </c>
    </row>
    <row r="36" spans="1:13" x14ac:dyDescent="0.3">
      <c r="A36" s="7" t="s">
        <v>2532</v>
      </c>
      <c r="B36" t="s">
        <v>2538</v>
      </c>
      <c r="C36" t="s">
        <v>2537</v>
      </c>
      <c r="D36" t="s">
        <v>2536</v>
      </c>
      <c r="E36" t="s">
        <v>2535</v>
      </c>
      <c r="F36" t="s">
        <v>2533</v>
      </c>
      <c r="L36" s="8" t="s">
        <v>2538</v>
      </c>
      <c r="M36">
        <v>261</v>
      </c>
    </row>
    <row r="37" spans="1:13" x14ac:dyDescent="0.3">
      <c r="A37" s="8" t="s">
        <v>39</v>
      </c>
      <c r="B37">
        <v>69</v>
      </c>
      <c r="C37">
        <v>10</v>
      </c>
      <c r="D37">
        <v>149</v>
      </c>
      <c r="E37">
        <v>318</v>
      </c>
      <c r="F37">
        <v>546</v>
      </c>
      <c r="L37" s="8" t="s">
        <v>2537</v>
      </c>
      <c r="M37">
        <v>114</v>
      </c>
    </row>
    <row r="38" spans="1:13" x14ac:dyDescent="0.3">
      <c r="A38" s="8" t="s">
        <v>44</v>
      </c>
      <c r="B38">
        <v>32</v>
      </c>
      <c r="C38">
        <v>27</v>
      </c>
      <c r="D38">
        <v>203</v>
      </c>
      <c r="E38">
        <v>240</v>
      </c>
      <c r="F38">
        <v>502</v>
      </c>
      <c r="L38" s="8" t="s">
        <v>2533</v>
      </c>
      <c r="M38">
        <v>4220</v>
      </c>
    </row>
    <row r="39" spans="1:13" x14ac:dyDescent="0.3">
      <c r="A39" s="8" t="s">
        <v>26</v>
      </c>
      <c r="B39">
        <v>84</v>
      </c>
      <c r="C39">
        <v>13</v>
      </c>
      <c r="D39">
        <v>131</v>
      </c>
      <c r="E39">
        <v>266</v>
      </c>
      <c r="F39">
        <v>494</v>
      </c>
    </row>
    <row r="40" spans="1:13" x14ac:dyDescent="0.3">
      <c r="A40" s="8" t="s">
        <v>16</v>
      </c>
      <c r="B40">
        <v>12</v>
      </c>
      <c r="D40">
        <v>140</v>
      </c>
      <c r="E40">
        <v>163</v>
      </c>
      <c r="F40">
        <v>315</v>
      </c>
    </row>
    <row r="41" spans="1:13" x14ac:dyDescent="0.3">
      <c r="A41" s="8" t="s">
        <v>22</v>
      </c>
      <c r="B41">
        <v>4</v>
      </c>
      <c r="C41">
        <v>7</v>
      </c>
      <c r="D41">
        <v>76</v>
      </c>
      <c r="E41">
        <v>192</v>
      </c>
      <c r="F41">
        <v>279</v>
      </c>
    </row>
    <row r="42" spans="1:13" x14ac:dyDescent="0.3">
      <c r="A42" s="8" t="s">
        <v>54</v>
      </c>
      <c r="B42">
        <v>1</v>
      </c>
      <c r="D42">
        <v>101</v>
      </c>
      <c r="E42">
        <v>152</v>
      </c>
      <c r="F42">
        <v>254</v>
      </c>
    </row>
    <row r="43" spans="1:13" x14ac:dyDescent="0.3">
      <c r="A43" s="8" t="s">
        <v>123</v>
      </c>
      <c r="B43">
        <v>1</v>
      </c>
      <c r="C43">
        <v>15</v>
      </c>
      <c r="D43">
        <v>176</v>
      </c>
      <c r="E43">
        <v>61</v>
      </c>
      <c r="F43">
        <v>253</v>
      </c>
    </row>
    <row r="44" spans="1:13" x14ac:dyDescent="0.3">
      <c r="A44" s="8" t="s">
        <v>42</v>
      </c>
      <c r="D44">
        <v>151</v>
      </c>
      <c r="E44">
        <v>96</v>
      </c>
      <c r="F44">
        <v>247</v>
      </c>
      <c r="L44" s="5" t="s">
        <v>2547</v>
      </c>
      <c r="M44" s="5" t="s">
        <v>2548</v>
      </c>
    </row>
    <row r="45" spans="1:13" x14ac:dyDescent="0.3">
      <c r="A45" s="8" t="s">
        <v>46</v>
      </c>
      <c r="B45">
        <v>8</v>
      </c>
      <c r="C45">
        <v>7</v>
      </c>
      <c r="D45">
        <v>63</v>
      </c>
      <c r="E45">
        <v>164</v>
      </c>
      <c r="F45">
        <v>242</v>
      </c>
    </row>
    <row r="46" spans="1:13" x14ac:dyDescent="0.3">
      <c r="A46" s="8" t="s">
        <v>32</v>
      </c>
      <c r="B46">
        <v>3</v>
      </c>
      <c r="C46">
        <v>8</v>
      </c>
      <c r="D46">
        <v>60</v>
      </c>
      <c r="E46">
        <v>152</v>
      </c>
      <c r="F46">
        <v>223</v>
      </c>
    </row>
    <row r="47" spans="1:13" x14ac:dyDescent="0.3">
      <c r="A47" s="8" t="s">
        <v>37</v>
      </c>
      <c r="B47">
        <v>3</v>
      </c>
      <c r="D47">
        <v>73</v>
      </c>
      <c r="E47">
        <v>116</v>
      </c>
      <c r="F47">
        <v>192</v>
      </c>
      <c r="K47" s="7" t="s">
        <v>10</v>
      </c>
      <c r="L47" s="7" t="s">
        <v>11</v>
      </c>
      <c r="M47" t="s">
        <v>2520</v>
      </c>
    </row>
    <row r="48" spans="1:13" x14ac:dyDescent="0.3">
      <c r="A48" s="8" t="s">
        <v>69</v>
      </c>
      <c r="B48">
        <v>6</v>
      </c>
      <c r="C48">
        <v>6</v>
      </c>
      <c r="D48">
        <v>45</v>
      </c>
      <c r="E48">
        <v>84</v>
      </c>
      <c r="F48">
        <v>141</v>
      </c>
      <c r="K48" t="s">
        <v>19</v>
      </c>
      <c r="M48">
        <v>11997</v>
      </c>
    </row>
    <row r="49" spans="1:13" x14ac:dyDescent="0.3">
      <c r="A49" s="8" t="s">
        <v>146</v>
      </c>
      <c r="B49">
        <v>6</v>
      </c>
      <c r="D49">
        <v>61</v>
      </c>
      <c r="E49">
        <v>72</v>
      </c>
      <c r="F49">
        <v>139</v>
      </c>
      <c r="K49" t="s">
        <v>19</v>
      </c>
      <c r="L49" t="s">
        <v>115</v>
      </c>
      <c r="M49">
        <v>579</v>
      </c>
    </row>
    <row r="50" spans="1:13" x14ac:dyDescent="0.3">
      <c r="A50" s="8" t="s">
        <v>30</v>
      </c>
      <c r="B50">
        <v>14</v>
      </c>
      <c r="C50">
        <v>4</v>
      </c>
      <c r="D50">
        <v>46</v>
      </c>
      <c r="E50">
        <v>39</v>
      </c>
      <c r="F50">
        <v>103</v>
      </c>
      <c r="K50" t="s">
        <v>19</v>
      </c>
      <c r="L50" t="s">
        <v>20</v>
      </c>
      <c r="M50">
        <v>1</v>
      </c>
    </row>
    <row r="51" spans="1:13" x14ac:dyDescent="0.3">
      <c r="A51" s="8" t="s">
        <v>67</v>
      </c>
      <c r="C51">
        <v>3</v>
      </c>
      <c r="D51">
        <v>30</v>
      </c>
      <c r="E51">
        <v>37</v>
      </c>
      <c r="F51">
        <v>70</v>
      </c>
      <c r="K51" t="s">
        <v>19</v>
      </c>
      <c r="L51" t="s">
        <v>641</v>
      </c>
      <c r="M51">
        <v>9</v>
      </c>
    </row>
    <row r="52" spans="1:13" x14ac:dyDescent="0.3">
      <c r="A52" s="8" t="s">
        <v>76</v>
      </c>
      <c r="C52">
        <v>4</v>
      </c>
      <c r="D52">
        <v>39</v>
      </c>
      <c r="E52">
        <v>22</v>
      </c>
      <c r="F52">
        <v>65</v>
      </c>
      <c r="K52" t="s">
        <v>19</v>
      </c>
      <c r="L52" t="s">
        <v>967</v>
      </c>
      <c r="M52">
        <v>35</v>
      </c>
    </row>
    <row r="53" spans="1:13" x14ac:dyDescent="0.3">
      <c r="A53" s="8" t="s">
        <v>128</v>
      </c>
      <c r="D53">
        <v>29</v>
      </c>
      <c r="E53">
        <v>35</v>
      </c>
      <c r="F53">
        <v>64</v>
      </c>
      <c r="K53" t="s">
        <v>19</v>
      </c>
      <c r="L53" t="s">
        <v>84</v>
      </c>
      <c r="M53">
        <v>12</v>
      </c>
    </row>
    <row r="54" spans="1:13" x14ac:dyDescent="0.3">
      <c r="A54" s="8" t="s">
        <v>81</v>
      </c>
      <c r="B54">
        <v>6</v>
      </c>
      <c r="C54">
        <v>8</v>
      </c>
      <c r="D54">
        <v>32</v>
      </c>
      <c r="E54">
        <v>11</v>
      </c>
      <c r="F54">
        <v>57</v>
      </c>
      <c r="K54" t="s">
        <v>19</v>
      </c>
      <c r="L54" t="s">
        <v>1383</v>
      </c>
      <c r="M54">
        <v>4</v>
      </c>
    </row>
    <row r="55" spans="1:13" x14ac:dyDescent="0.3">
      <c r="A55" s="8" t="s">
        <v>135</v>
      </c>
      <c r="B55">
        <v>12</v>
      </c>
      <c r="E55">
        <v>17</v>
      </c>
      <c r="F55">
        <v>29</v>
      </c>
      <c r="K55" t="s">
        <v>19</v>
      </c>
      <c r="L55" t="s">
        <v>24</v>
      </c>
      <c r="M55">
        <v>341</v>
      </c>
    </row>
    <row r="56" spans="1:13" x14ac:dyDescent="0.3">
      <c r="A56" s="8" t="s">
        <v>171</v>
      </c>
      <c r="C56">
        <v>2</v>
      </c>
      <c r="E56">
        <v>3</v>
      </c>
      <c r="F56">
        <v>5</v>
      </c>
      <c r="K56" t="s">
        <v>19</v>
      </c>
      <c r="L56" t="s">
        <v>2204</v>
      </c>
      <c r="M56">
        <v>13</v>
      </c>
    </row>
    <row r="57" spans="1:13" x14ac:dyDescent="0.3">
      <c r="A57" s="8" t="s">
        <v>2533</v>
      </c>
      <c r="B57">
        <v>261</v>
      </c>
      <c r="C57">
        <v>114</v>
      </c>
      <c r="D57">
        <v>1605</v>
      </c>
      <c r="E57">
        <v>2240</v>
      </c>
      <c r="F57">
        <v>4220</v>
      </c>
      <c r="K57" t="s">
        <v>19</v>
      </c>
      <c r="L57" t="s">
        <v>437</v>
      </c>
      <c r="M57">
        <v>31</v>
      </c>
    </row>
    <row r="58" spans="1:13" x14ac:dyDescent="0.3">
      <c r="K58" t="s">
        <v>19</v>
      </c>
      <c r="L58" t="s">
        <v>28</v>
      </c>
      <c r="M58">
        <v>279</v>
      </c>
    </row>
    <row r="59" spans="1:13" x14ac:dyDescent="0.3">
      <c r="K59" t="s">
        <v>19</v>
      </c>
      <c r="L59" t="s">
        <v>208</v>
      </c>
      <c r="M59">
        <v>9</v>
      </c>
    </row>
    <row r="60" spans="1:13" x14ac:dyDescent="0.3">
      <c r="K60" t="s">
        <v>19</v>
      </c>
      <c r="L60" t="s">
        <v>587</v>
      </c>
      <c r="M60">
        <v>49</v>
      </c>
    </row>
    <row r="61" spans="1:13" x14ac:dyDescent="0.3">
      <c r="K61" t="s">
        <v>19</v>
      </c>
      <c r="L61" t="s">
        <v>331</v>
      </c>
      <c r="M61">
        <v>59</v>
      </c>
    </row>
    <row r="62" spans="1:13" x14ac:dyDescent="0.3">
      <c r="K62" t="s">
        <v>19</v>
      </c>
      <c r="L62" t="s">
        <v>86</v>
      </c>
      <c r="M62">
        <v>8</v>
      </c>
    </row>
    <row r="63" spans="1:13" x14ac:dyDescent="0.3">
      <c r="K63" t="s">
        <v>19</v>
      </c>
      <c r="L63" t="s">
        <v>147</v>
      </c>
      <c r="M63">
        <v>222</v>
      </c>
    </row>
    <row r="64" spans="1:13" x14ac:dyDescent="0.3">
      <c r="A64" s="5" t="s">
        <v>2549</v>
      </c>
      <c r="B64" s="5" t="s">
        <v>12</v>
      </c>
      <c r="K64" t="s">
        <v>19</v>
      </c>
      <c r="L64" t="s">
        <v>334</v>
      </c>
      <c r="M64">
        <v>36</v>
      </c>
    </row>
    <row r="65" spans="1:13" x14ac:dyDescent="0.3">
      <c r="K65" t="s">
        <v>19</v>
      </c>
      <c r="L65" t="s">
        <v>949</v>
      </c>
      <c r="M65">
        <v>30</v>
      </c>
    </row>
    <row r="66" spans="1:13" x14ac:dyDescent="0.3">
      <c r="K66" t="s">
        <v>19</v>
      </c>
      <c r="L66" t="s">
        <v>1426</v>
      </c>
      <c r="M66">
        <v>1</v>
      </c>
    </row>
    <row r="67" spans="1:13" x14ac:dyDescent="0.3">
      <c r="A67" s="7" t="s">
        <v>2532</v>
      </c>
      <c r="B67" t="s">
        <v>2519</v>
      </c>
      <c r="K67" t="s">
        <v>19</v>
      </c>
      <c r="L67" t="s">
        <v>33</v>
      </c>
      <c r="M67">
        <v>3991</v>
      </c>
    </row>
    <row r="68" spans="1:13" x14ac:dyDescent="0.3">
      <c r="A68" s="8">
        <v>0</v>
      </c>
      <c r="B68">
        <v>55</v>
      </c>
      <c r="K68" t="s">
        <v>19</v>
      </c>
      <c r="L68" t="s">
        <v>364</v>
      </c>
      <c r="M68">
        <v>45</v>
      </c>
    </row>
    <row r="69" spans="1:13" x14ac:dyDescent="0.3">
      <c r="A69" s="8">
        <v>1</v>
      </c>
      <c r="B69">
        <v>323</v>
      </c>
      <c r="K69" t="s">
        <v>19</v>
      </c>
      <c r="L69" t="s">
        <v>545</v>
      </c>
      <c r="M69">
        <v>39</v>
      </c>
    </row>
    <row r="70" spans="1:13" x14ac:dyDescent="0.3">
      <c r="A70" s="8">
        <v>2</v>
      </c>
      <c r="B70">
        <v>179</v>
      </c>
      <c r="H70" t="s">
        <v>2</v>
      </c>
      <c r="K70" t="s">
        <v>19</v>
      </c>
      <c r="L70" t="s">
        <v>416</v>
      </c>
      <c r="M70">
        <v>6</v>
      </c>
    </row>
    <row r="71" spans="1:13" x14ac:dyDescent="0.3">
      <c r="A71" s="8">
        <v>3</v>
      </c>
      <c r="B71">
        <v>123</v>
      </c>
      <c r="F71" t="s">
        <v>19</v>
      </c>
      <c r="G71" t="s">
        <v>115</v>
      </c>
      <c r="H71">
        <v>579</v>
      </c>
      <c r="K71" t="s">
        <v>19</v>
      </c>
      <c r="L71" t="s">
        <v>258</v>
      </c>
      <c r="M71">
        <v>9</v>
      </c>
    </row>
    <row r="72" spans="1:13" x14ac:dyDescent="0.3">
      <c r="A72" s="8">
        <v>4</v>
      </c>
      <c r="B72">
        <v>71</v>
      </c>
      <c r="F72" t="s">
        <v>19</v>
      </c>
      <c r="G72" t="s">
        <v>20</v>
      </c>
      <c r="H72">
        <v>1</v>
      </c>
      <c r="K72" t="s">
        <v>19</v>
      </c>
      <c r="L72" t="s">
        <v>186</v>
      </c>
      <c r="M72">
        <v>60</v>
      </c>
    </row>
    <row r="73" spans="1:13" x14ac:dyDescent="0.3">
      <c r="A73" s="8">
        <v>5</v>
      </c>
      <c r="B73">
        <v>44</v>
      </c>
      <c r="F73" t="s">
        <v>19</v>
      </c>
      <c r="G73" t="s">
        <v>641</v>
      </c>
      <c r="H73">
        <v>9</v>
      </c>
      <c r="K73" t="s">
        <v>19</v>
      </c>
      <c r="L73" t="s">
        <v>392</v>
      </c>
      <c r="M73">
        <v>2</v>
      </c>
    </row>
    <row r="74" spans="1:13" x14ac:dyDescent="0.3">
      <c r="A74" s="8">
        <v>6</v>
      </c>
      <c r="B74">
        <v>19</v>
      </c>
      <c r="F74" t="s">
        <v>19</v>
      </c>
      <c r="G74" t="s">
        <v>967</v>
      </c>
      <c r="H74">
        <v>35</v>
      </c>
      <c r="K74" t="s">
        <v>19</v>
      </c>
      <c r="L74" t="s">
        <v>670</v>
      </c>
      <c r="M74">
        <v>4</v>
      </c>
    </row>
    <row r="75" spans="1:13" x14ac:dyDescent="0.3">
      <c r="A75" s="8">
        <v>7</v>
      </c>
      <c r="B75">
        <v>14</v>
      </c>
      <c r="F75" t="s">
        <v>19</v>
      </c>
      <c r="G75" t="s">
        <v>84</v>
      </c>
      <c r="H75">
        <v>12</v>
      </c>
      <c r="K75" t="s">
        <v>19</v>
      </c>
      <c r="L75" t="s">
        <v>802</v>
      </c>
      <c r="M75">
        <v>31</v>
      </c>
    </row>
    <row r="76" spans="1:13" x14ac:dyDescent="0.3">
      <c r="A76" s="8">
        <v>8</v>
      </c>
      <c r="B76">
        <v>13</v>
      </c>
      <c r="F76" t="s">
        <v>19</v>
      </c>
      <c r="G76" t="s">
        <v>1383</v>
      </c>
      <c r="H76">
        <v>4</v>
      </c>
      <c r="K76" t="s">
        <v>19</v>
      </c>
      <c r="L76" t="s">
        <v>98</v>
      </c>
      <c r="M76">
        <v>88</v>
      </c>
    </row>
    <row r="77" spans="1:13" x14ac:dyDescent="0.3">
      <c r="A77" s="8">
        <v>9</v>
      </c>
      <c r="B77">
        <v>3</v>
      </c>
      <c r="F77" t="s">
        <v>19</v>
      </c>
      <c r="G77" t="s">
        <v>24</v>
      </c>
      <c r="H77">
        <v>341</v>
      </c>
      <c r="K77" t="s">
        <v>19</v>
      </c>
      <c r="L77" t="s">
        <v>49</v>
      </c>
      <c r="M77">
        <v>25</v>
      </c>
    </row>
    <row r="78" spans="1:13" x14ac:dyDescent="0.3">
      <c r="A78" s="8">
        <v>10</v>
      </c>
      <c r="B78">
        <v>5</v>
      </c>
      <c r="F78" t="s">
        <v>19</v>
      </c>
      <c r="G78" t="s">
        <v>2204</v>
      </c>
      <c r="H78">
        <v>13</v>
      </c>
      <c r="K78" t="s">
        <v>19</v>
      </c>
      <c r="L78" t="s">
        <v>188</v>
      </c>
      <c r="M78">
        <v>178</v>
      </c>
    </row>
    <row r="79" spans="1:13" x14ac:dyDescent="0.3">
      <c r="A79" s="8">
        <v>11</v>
      </c>
      <c r="B79">
        <v>6</v>
      </c>
      <c r="F79" t="s">
        <v>19</v>
      </c>
      <c r="G79" t="s">
        <v>437</v>
      </c>
      <c r="H79">
        <v>31</v>
      </c>
      <c r="K79" t="s">
        <v>19</v>
      </c>
      <c r="L79" t="s">
        <v>52</v>
      </c>
      <c r="M79">
        <v>141</v>
      </c>
    </row>
    <row r="80" spans="1:13" x14ac:dyDescent="0.3">
      <c r="A80" s="8">
        <v>12</v>
      </c>
      <c r="B80">
        <v>3</v>
      </c>
      <c r="F80" t="s">
        <v>19</v>
      </c>
      <c r="G80" t="s">
        <v>28</v>
      </c>
      <c r="H80">
        <v>279</v>
      </c>
      <c r="K80" t="s">
        <v>19</v>
      </c>
      <c r="L80" t="s">
        <v>338</v>
      </c>
      <c r="M80">
        <v>6</v>
      </c>
    </row>
    <row r="81" spans="1:13" x14ac:dyDescent="0.3">
      <c r="A81" s="8">
        <v>13</v>
      </c>
      <c r="B81">
        <v>3</v>
      </c>
      <c r="F81" t="s">
        <v>19</v>
      </c>
      <c r="G81" t="s">
        <v>208</v>
      </c>
      <c r="H81">
        <v>9</v>
      </c>
      <c r="K81" t="s">
        <v>19</v>
      </c>
      <c r="L81" t="s">
        <v>158</v>
      </c>
      <c r="M81">
        <v>178</v>
      </c>
    </row>
    <row r="82" spans="1:13" x14ac:dyDescent="0.3">
      <c r="A82" s="8">
        <v>14</v>
      </c>
      <c r="B82">
        <v>7</v>
      </c>
      <c r="F82" t="s">
        <v>19</v>
      </c>
      <c r="G82" t="s">
        <v>587</v>
      </c>
      <c r="H82">
        <v>49</v>
      </c>
      <c r="K82" t="s">
        <v>19</v>
      </c>
      <c r="L82" t="s">
        <v>55</v>
      </c>
      <c r="M82">
        <v>699</v>
      </c>
    </row>
    <row r="83" spans="1:13" x14ac:dyDescent="0.3">
      <c r="A83" s="8" t="s">
        <v>2533</v>
      </c>
      <c r="B83">
        <v>868</v>
      </c>
      <c r="F83" t="s">
        <v>19</v>
      </c>
      <c r="G83" t="s">
        <v>331</v>
      </c>
      <c r="H83">
        <v>59</v>
      </c>
      <c r="K83" t="s">
        <v>19</v>
      </c>
      <c r="L83" t="s">
        <v>342</v>
      </c>
      <c r="M83">
        <v>23</v>
      </c>
    </row>
    <row r="84" spans="1:13" x14ac:dyDescent="0.3">
      <c r="F84" t="s">
        <v>19</v>
      </c>
      <c r="G84" t="s">
        <v>86</v>
      </c>
      <c r="H84">
        <v>8</v>
      </c>
      <c r="K84" t="s">
        <v>19</v>
      </c>
      <c r="L84" t="s">
        <v>59</v>
      </c>
      <c r="M84">
        <v>356</v>
      </c>
    </row>
    <row r="85" spans="1:13" x14ac:dyDescent="0.3">
      <c r="F85" t="s">
        <v>19</v>
      </c>
      <c r="G85" t="s">
        <v>147</v>
      </c>
      <c r="H85">
        <v>222</v>
      </c>
      <c r="K85" t="s">
        <v>19</v>
      </c>
      <c r="L85" t="s">
        <v>62</v>
      </c>
      <c r="M85">
        <v>1768</v>
      </c>
    </row>
    <row r="86" spans="1:13" x14ac:dyDescent="0.3">
      <c r="F86" t="s">
        <v>19</v>
      </c>
      <c r="G86" t="s">
        <v>334</v>
      </c>
      <c r="H86">
        <v>36</v>
      </c>
      <c r="K86" t="s">
        <v>19</v>
      </c>
      <c r="L86" t="s">
        <v>103</v>
      </c>
      <c r="M86">
        <v>307</v>
      </c>
    </row>
    <row r="87" spans="1:13" x14ac:dyDescent="0.3">
      <c r="F87" t="s">
        <v>19</v>
      </c>
      <c r="G87" t="s">
        <v>949</v>
      </c>
      <c r="H87">
        <v>30</v>
      </c>
      <c r="K87" t="s">
        <v>19</v>
      </c>
      <c r="L87" t="s">
        <v>201</v>
      </c>
      <c r="M87">
        <v>117</v>
      </c>
    </row>
    <row r="88" spans="1:13" x14ac:dyDescent="0.3">
      <c r="F88" t="s">
        <v>19</v>
      </c>
      <c r="G88" t="s">
        <v>1426</v>
      </c>
      <c r="H88">
        <v>1</v>
      </c>
      <c r="K88" t="s">
        <v>19</v>
      </c>
      <c r="L88" t="s">
        <v>429</v>
      </c>
      <c r="M88">
        <v>13</v>
      </c>
    </row>
    <row r="89" spans="1:13" x14ac:dyDescent="0.3">
      <c r="F89" t="s">
        <v>19</v>
      </c>
      <c r="G89" t="s">
        <v>33</v>
      </c>
      <c r="H89">
        <v>3991</v>
      </c>
      <c r="K89" t="s">
        <v>19</v>
      </c>
      <c r="L89" t="s">
        <v>72</v>
      </c>
      <c r="M89">
        <v>364</v>
      </c>
    </row>
    <row r="90" spans="1:13" x14ac:dyDescent="0.3">
      <c r="F90" t="s">
        <v>19</v>
      </c>
      <c r="G90" t="s">
        <v>364</v>
      </c>
      <c r="H90">
        <v>45</v>
      </c>
      <c r="K90" t="s">
        <v>19</v>
      </c>
      <c r="L90" t="s">
        <v>74</v>
      </c>
      <c r="M90">
        <v>95</v>
      </c>
    </row>
    <row r="91" spans="1:13" x14ac:dyDescent="0.3">
      <c r="F91" t="s">
        <v>19</v>
      </c>
      <c r="G91" t="s">
        <v>545</v>
      </c>
      <c r="H91">
        <v>39</v>
      </c>
      <c r="K91" t="s">
        <v>19</v>
      </c>
      <c r="L91" t="s">
        <v>77</v>
      </c>
      <c r="M91">
        <v>737</v>
      </c>
    </row>
    <row r="92" spans="1:13" x14ac:dyDescent="0.3">
      <c r="F92" t="s">
        <v>19</v>
      </c>
      <c r="G92" t="s">
        <v>416</v>
      </c>
      <c r="H92">
        <v>6</v>
      </c>
      <c r="K92" t="s">
        <v>19</v>
      </c>
      <c r="L92" t="s">
        <v>309</v>
      </c>
      <c r="M92">
        <v>39</v>
      </c>
    </row>
    <row r="93" spans="1:13" x14ac:dyDescent="0.3">
      <c r="H93">
        <v>9</v>
      </c>
      <c r="K93" t="s">
        <v>19</v>
      </c>
      <c r="L93" t="s">
        <v>1116</v>
      </c>
      <c r="M93">
        <v>56</v>
      </c>
    </row>
    <row r="94" spans="1:13" x14ac:dyDescent="0.3">
      <c r="H94">
        <v>60</v>
      </c>
      <c r="K94" t="s">
        <v>19</v>
      </c>
      <c r="L94" t="s">
        <v>700</v>
      </c>
      <c r="M94">
        <v>2</v>
      </c>
    </row>
    <row r="95" spans="1:13" x14ac:dyDescent="0.3">
      <c r="H95">
        <v>2</v>
      </c>
      <c r="K95" t="s">
        <v>19</v>
      </c>
      <c r="L95" t="s">
        <v>268</v>
      </c>
      <c r="M95">
        <v>8</v>
      </c>
    </row>
    <row r="96" spans="1:13" x14ac:dyDescent="0.3">
      <c r="H96">
        <v>4</v>
      </c>
      <c r="K96" t="s">
        <v>19</v>
      </c>
      <c r="L96" t="s">
        <v>377</v>
      </c>
      <c r="M96">
        <v>52</v>
      </c>
    </row>
    <row r="97" spans="6:13" x14ac:dyDescent="0.3">
      <c r="H97">
        <v>31</v>
      </c>
      <c r="K97" t="s">
        <v>19</v>
      </c>
      <c r="L97" t="s">
        <v>108</v>
      </c>
      <c r="M97">
        <v>295</v>
      </c>
    </row>
    <row r="98" spans="6:13" x14ac:dyDescent="0.3">
      <c r="H98">
        <v>88</v>
      </c>
      <c r="K98" t="s">
        <v>19</v>
      </c>
      <c r="L98" t="s">
        <v>110</v>
      </c>
      <c r="M98">
        <v>195</v>
      </c>
    </row>
    <row r="99" spans="6:13" x14ac:dyDescent="0.3">
      <c r="F99" t="s">
        <v>19</v>
      </c>
      <c r="G99" t="s">
        <v>49</v>
      </c>
      <c r="H99">
        <v>25</v>
      </c>
      <c r="K99" t="s">
        <v>19</v>
      </c>
      <c r="L99" t="s">
        <v>292</v>
      </c>
      <c r="M99">
        <v>20</v>
      </c>
    </row>
    <row r="100" spans="6:13" x14ac:dyDescent="0.3">
      <c r="F100" t="s">
        <v>19</v>
      </c>
      <c r="G100" t="s">
        <v>188</v>
      </c>
      <c r="H100">
        <v>178</v>
      </c>
      <c r="K100" t="s">
        <v>19</v>
      </c>
      <c r="L100" t="s">
        <v>79</v>
      </c>
      <c r="M100">
        <v>6</v>
      </c>
    </row>
    <row r="101" spans="6:13" x14ac:dyDescent="0.3">
      <c r="F101" t="s">
        <v>19</v>
      </c>
      <c r="G101" t="s">
        <v>52</v>
      </c>
      <c r="H101">
        <v>141</v>
      </c>
      <c r="K101" t="s">
        <v>19</v>
      </c>
      <c r="L101" t="s">
        <v>608</v>
      </c>
      <c r="M101">
        <v>5</v>
      </c>
    </row>
    <row r="102" spans="6:13" x14ac:dyDescent="0.3">
      <c r="F102" t="s">
        <v>19</v>
      </c>
      <c r="G102" t="s">
        <v>338</v>
      </c>
      <c r="H102">
        <v>6</v>
      </c>
      <c r="K102" t="s">
        <v>19</v>
      </c>
      <c r="L102" t="s">
        <v>113</v>
      </c>
      <c r="M102">
        <v>94</v>
      </c>
    </row>
    <row r="103" spans="6:13" x14ac:dyDescent="0.3">
      <c r="F103" t="s">
        <v>19</v>
      </c>
      <c r="G103" t="s">
        <v>158</v>
      </c>
      <c r="H103">
        <v>178</v>
      </c>
      <c r="K103" t="s">
        <v>19</v>
      </c>
      <c r="L103" t="s">
        <v>997</v>
      </c>
      <c r="M103">
        <v>28</v>
      </c>
    </row>
    <row r="104" spans="6:13" x14ac:dyDescent="0.3">
      <c r="F104" t="s">
        <v>19</v>
      </c>
      <c r="G104" t="s">
        <v>55</v>
      </c>
      <c r="H104">
        <v>699</v>
      </c>
      <c r="K104" t="s">
        <v>19</v>
      </c>
      <c r="L104" t="s">
        <v>82</v>
      </c>
      <c r="M104">
        <v>179</v>
      </c>
    </row>
    <row r="105" spans="6:13" x14ac:dyDescent="0.3">
      <c r="F105" t="s">
        <v>19</v>
      </c>
      <c r="G105" t="s">
        <v>342</v>
      </c>
      <c r="H105">
        <v>23</v>
      </c>
      <c r="K105" t="s">
        <v>19</v>
      </c>
      <c r="L105" t="s">
        <v>243</v>
      </c>
      <c r="M105">
        <v>15</v>
      </c>
    </row>
    <row r="106" spans="6:13" x14ac:dyDescent="0.3">
      <c r="F106" t="s">
        <v>19</v>
      </c>
      <c r="G106" t="s">
        <v>59</v>
      </c>
      <c r="H106">
        <v>356</v>
      </c>
      <c r="K106" t="s">
        <v>19</v>
      </c>
      <c r="L106" t="s">
        <v>1911</v>
      </c>
      <c r="M106">
        <v>3</v>
      </c>
    </row>
    <row r="107" spans="6:13" x14ac:dyDescent="0.3">
      <c r="F107" t="s">
        <v>19</v>
      </c>
      <c r="G107" t="s">
        <v>62</v>
      </c>
      <c r="H107">
        <v>1768</v>
      </c>
    </row>
    <row r="108" spans="6:13" x14ac:dyDescent="0.3">
      <c r="F108" t="s">
        <v>19</v>
      </c>
      <c r="G108" t="s">
        <v>103</v>
      </c>
      <c r="H108">
        <v>307</v>
      </c>
    </row>
    <row r="109" spans="6:13" x14ac:dyDescent="0.3">
      <c r="F109" t="s">
        <v>19</v>
      </c>
      <c r="G109" t="s">
        <v>201</v>
      </c>
      <c r="H109">
        <v>117</v>
      </c>
    </row>
    <row r="110" spans="6:13" x14ac:dyDescent="0.3">
      <c r="F110" t="s">
        <v>19</v>
      </c>
      <c r="G110" t="s">
        <v>429</v>
      </c>
      <c r="H110">
        <v>13</v>
      </c>
    </row>
    <row r="111" spans="6:13" x14ac:dyDescent="0.3">
      <c r="F111" t="s">
        <v>19</v>
      </c>
      <c r="G111" t="s">
        <v>72</v>
      </c>
      <c r="H111">
        <v>364</v>
      </c>
    </row>
    <row r="112" spans="6:13" x14ac:dyDescent="0.3">
      <c r="F112" t="s">
        <v>19</v>
      </c>
      <c r="G112" t="s">
        <v>74</v>
      </c>
      <c r="H112">
        <v>95</v>
      </c>
    </row>
    <row r="113" spans="6:8" x14ac:dyDescent="0.3">
      <c r="F113" t="s">
        <v>19</v>
      </c>
      <c r="G113" t="s">
        <v>77</v>
      </c>
      <c r="H113">
        <v>737</v>
      </c>
    </row>
    <row r="114" spans="6:8" x14ac:dyDescent="0.3">
      <c r="F114" t="s">
        <v>19</v>
      </c>
      <c r="G114" t="s">
        <v>309</v>
      </c>
      <c r="H114">
        <v>39</v>
      </c>
    </row>
    <row r="115" spans="6:8" x14ac:dyDescent="0.3">
      <c r="F115" t="s">
        <v>19</v>
      </c>
      <c r="G115" t="s">
        <v>1116</v>
      </c>
      <c r="H115">
        <v>56</v>
      </c>
    </row>
    <row r="116" spans="6:8" x14ac:dyDescent="0.3">
      <c r="F116" t="s">
        <v>19</v>
      </c>
      <c r="G116" t="s">
        <v>700</v>
      </c>
      <c r="H116">
        <v>2</v>
      </c>
    </row>
    <row r="117" spans="6:8" x14ac:dyDescent="0.3">
      <c r="F117" t="s">
        <v>19</v>
      </c>
      <c r="G117" t="s">
        <v>268</v>
      </c>
      <c r="H117">
        <v>8</v>
      </c>
    </row>
    <row r="118" spans="6:8" x14ac:dyDescent="0.3">
      <c r="F118" t="s">
        <v>19</v>
      </c>
      <c r="G118" t="s">
        <v>377</v>
      </c>
      <c r="H118">
        <v>52</v>
      </c>
    </row>
    <row r="119" spans="6:8" x14ac:dyDescent="0.3">
      <c r="F119" t="s">
        <v>19</v>
      </c>
      <c r="G119" t="s">
        <v>108</v>
      </c>
      <c r="H119">
        <v>295</v>
      </c>
    </row>
    <row r="120" spans="6:8" x14ac:dyDescent="0.3">
      <c r="F120" t="s">
        <v>19</v>
      </c>
      <c r="G120" t="s">
        <v>110</v>
      </c>
      <c r="H120">
        <v>195</v>
      </c>
    </row>
    <row r="121" spans="6:8" x14ac:dyDescent="0.3">
      <c r="F121" t="s">
        <v>19</v>
      </c>
      <c r="G121" t="s">
        <v>292</v>
      </c>
      <c r="H121">
        <v>20</v>
      </c>
    </row>
    <row r="122" spans="6:8" x14ac:dyDescent="0.3">
      <c r="F122" t="s">
        <v>19</v>
      </c>
      <c r="G122" t="s">
        <v>79</v>
      </c>
      <c r="H122">
        <v>6</v>
      </c>
    </row>
    <row r="123" spans="6:8" x14ac:dyDescent="0.3">
      <c r="F123" t="s">
        <v>19</v>
      </c>
      <c r="G123" t="s">
        <v>608</v>
      </c>
      <c r="H123">
        <v>5</v>
      </c>
    </row>
    <row r="124" spans="6:8" x14ac:dyDescent="0.3">
      <c r="F124" t="s">
        <v>19</v>
      </c>
      <c r="G124" t="s">
        <v>113</v>
      </c>
      <c r="H124">
        <v>94</v>
      </c>
    </row>
    <row r="125" spans="6:8" x14ac:dyDescent="0.3">
      <c r="F125" t="s">
        <v>19</v>
      </c>
      <c r="G125" t="s">
        <v>997</v>
      </c>
      <c r="H125">
        <v>28</v>
      </c>
    </row>
    <row r="126" spans="6:8" x14ac:dyDescent="0.3">
      <c r="F126" t="s">
        <v>19</v>
      </c>
      <c r="G126" t="s">
        <v>82</v>
      </c>
      <c r="H126">
        <v>179</v>
      </c>
    </row>
    <row r="127" spans="6:8" x14ac:dyDescent="0.3">
      <c r="F127" t="s">
        <v>19</v>
      </c>
      <c r="G127" t="s">
        <v>243</v>
      </c>
      <c r="H127">
        <v>15</v>
      </c>
    </row>
    <row r="128" spans="6:8" x14ac:dyDescent="0.3">
      <c r="F128" t="s">
        <v>19</v>
      </c>
      <c r="G128" t="s">
        <v>1911</v>
      </c>
      <c r="H128">
        <v>3</v>
      </c>
    </row>
    <row r="135" spans="1:7" x14ac:dyDescent="0.3">
      <c r="A135" s="5" t="s">
        <v>2550</v>
      </c>
      <c r="B135" s="5" t="s">
        <v>2551</v>
      </c>
    </row>
    <row r="139" spans="1:7" x14ac:dyDescent="0.3">
      <c r="A139" s="7" t="s">
        <v>2519</v>
      </c>
      <c r="B139" s="7" t="s">
        <v>2534</v>
      </c>
    </row>
    <row r="140" spans="1:7" x14ac:dyDescent="0.3">
      <c r="A140" s="7" t="s">
        <v>2532</v>
      </c>
      <c r="B140">
        <v>1</v>
      </c>
      <c r="C140">
        <v>2</v>
      </c>
      <c r="D140">
        <v>3</v>
      </c>
      <c r="E140">
        <v>4</v>
      </c>
      <c r="F140">
        <v>5</v>
      </c>
      <c r="G140" t="s">
        <v>2533</v>
      </c>
    </row>
    <row r="141" spans="1:7" x14ac:dyDescent="0.3">
      <c r="A141" s="8" t="s">
        <v>2552</v>
      </c>
      <c r="B141">
        <v>2</v>
      </c>
      <c r="C141">
        <v>11</v>
      </c>
      <c r="D141">
        <v>39</v>
      </c>
      <c r="E141">
        <v>113</v>
      </c>
      <c r="F141">
        <v>92</v>
      </c>
      <c r="G141">
        <v>257</v>
      </c>
    </row>
    <row r="142" spans="1:7" x14ac:dyDescent="0.3">
      <c r="A142" s="8" t="s">
        <v>2553</v>
      </c>
      <c r="B142">
        <v>5</v>
      </c>
      <c r="C142">
        <v>11</v>
      </c>
      <c r="D142">
        <v>70</v>
      </c>
      <c r="E142">
        <v>150</v>
      </c>
      <c r="F142">
        <v>84</v>
      </c>
      <c r="G142">
        <v>320</v>
      </c>
    </row>
    <row r="143" spans="1:7" x14ac:dyDescent="0.3">
      <c r="A143" s="8" t="s">
        <v>2554</v>
      </c>
      <c r="B143">
        <v>2</v>
      </c>
      <c r="C143">
        <v>10</v>
      </c>
      <c r="D143">
        <v>64</v>
      </c>
      <c r="E143">
        <v>130</v>
      </c>
      <c r="F143">
        <v>85</v>
      </c>
      <c r="G143">
        <v>291</v>
      </c>
    </row>
    <row r="144" spans="1:7" x14ac:dyDescent="0.3">
      <c r="A144" s="8" t="s">
        <v>2533</v>
      </c>
      <c r="B144">
        <v>9</v>
      </c>
      <c r="C144">
        <v>32</v>
      </c>
      <c r="D144">
        <v>173</v>
      </c>
      <c r="E144">
        <v>393</v>
      </c>
      <c r="F144">
        <v>261</v>
      </c>
      <c r="G144">
        <v>868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9F65D-4AB3-48EF-95D7-091429A15C52}">
  <dimension ref="A1:M25"/>
  <sheetViews>
    <sheetView showGridLines="0" workbookViewId="0">
      <selection activeCell="B8" sqref="B8"/>
    </sheetView>
  </sheetViews>
  <sheetFormatPr defaultRowHeight="14.4" x14ac:dyDescent="0.3"/>
  <cols>
    <col min="1" max="1" width="12.44140625" bestFit="1" customWidth="1"/>
    <col min="2" max="2" width="12.21875" bestFit="1" customWidth="1"/>
    <col min="3" max="3" width="7.109375" bestFit="1" customWidth="1"/>
    <col min="4" max="4" width="6.109375" bestFit="1" customWidth="1"/>
    <col min="5" max="5" width="8.5546875" bestFit="1" customWidth="1"/>
    <col min="6" max="6" width="10.5546875" bestFit="1" customWidth="1"/>
    <col min="7" max="48" width="15.5546875" bestFit="1" customWidth="1"/>
    <col min="49" max="49" width="10.5546875" bestFit="1" customWidth="1"/>
  </cols>
  <sheetData>
    <row r="1" spans="1:13" x14ac:dyDescent="0.3">
      <c r="A1" t="s">
        <v>2539</v>
      </c>
      <c r="B1" t="s">
        <v>2540</v>
      </c>
    </row>
    <row r="3" spans="1:13" x14ac:dyDescent="0.3">
      <c r="A3" s="7" t="s">
        <v>2521</v>
      </c>
      <c r="B3" s="7" t="s">
        <v>2534</v>
      </c>
      <c r="J3" t="str">
        <f>B4</f>
        <v>Female</v>
      </c>
      <c r="K3" t="str">
        <f t="shared" ref="K3:M3" si="0">C4</f>
        <v>Male</v>
      </c>
      <c r="L3" t="str">
        <f t="shared" si="0"/>
        <v>Other</v>
      </c>
      <c r="M3" t="str">
        <f t="shared" si="0"/>
        <v>Unknown</v>
      </c>
    </row>
    <row r="4" spans="1:13" x14ac:dyDescent="0.3">
      <c r="A4" s="7" t="s">
        <v>2532</v>
      </c>
      <c r="B4" t="s">
        <v>2535</v>
      </c>
      <c r="C4" t="s">
        <v>2536</v>
      </c>
      <c r="D4" t="s">
        <v>2537</v>
      </c>
      <c r="E4" t="s">
        <v>2538</v>
      </c>
      <c r="F4" t="s">
        <v>2533</v>
      </c>
      <c r="I4" t="str">
        <f>A5</f>
        <v>App</v>
      </c>
      <c r="J4" s="13">
        <f t="shared" ref="J4:M4" si="1">B5</f>
        <v>0.18961825201634841</v>
      </c>
      <c r="K4" s="13">
        <f t="shared" si="1"/>
        <v>0.12262322351336576</v>
      </c>
      <c r="L4" s="13">
        <f t="shared" si="1"/>
        <v>1.060537752469185E-2</v>
      </c>
      <c r="M4" s="13">
        <f t="shared" si="1"/>
        <v>3.0599220547662797E-2</v>
      </c>
    </row>
    <row r="5" spans="1:13" x14ac:dyDescent="0.3">
      <c r="A5" s="8" t="s">
        <v>18</v>
      </c>
      <c r="B5" s="12">
        <v>0.18961825201634841</v>
      </c>
      <c r="C5" s="12">
        <v>0.12262322351336576</v>
      </c>
      <c r="D5" s="12">
        <v>1.060537752469185E-2</v>
      </c>
      <c r="E5" s="12">
        <v>3.0599220547662797E-2</v>
      </c>
      <c r="F5" s="12">
        <v>0.35344607360206881</v>
      </c>
      <c r="I5" t="str">
        <f t="shared" ref="I5:I8" si="2">A6</f>
        <v>Instagram</v>
      </c>
      <c r="J5" s="13">
        <f t="shared" ref="J5:J8" si="3">B6</f>
        <v>5.0283982091147303E-2</v>
      </c>
      <c r="K5" s="13">
        <f t="shared" ref="K5:K8" si="4">C6</f>
        <v>4.3060781812819873E-2</v>
      </c>
      <c r="L5" s="13">
        <f t="shared" ref="L5:L8" si="5">D6</f>
        <v>1.5320025675641944E-3</v>
      </c>
      <c r="M5" s="13">
        <f t="shared" ref="M5:M8" si="6">E6</f>
        <v>1.7794988689097006E-2</v>
      </c>
    </row>
    <row r="6" spans="1:13" x14ac:dyDescent="0.3">
      <c r="A6" s="8" t="s">
        <v>51</v>
      </c>
      <c r="B6" s="12">
        <v>5.0283982091147303E-2</v>
      </c>
      <c r="C6" s="12">
        <v>4.3060781812819873E-2</v>
      </c>
      <c r="D6" s="12">
        <v>1.5320025675641944E-3</v>
      </c>
      <c r="E6" s="12">
        <v>1.7794988689097006E-2</v>
      </c>
      <c r="F6" s="12">
        <v>0.11267175516062837</v>
      </c>
      <c r="I6" t="str">
        <f t="shared" si="2"/>
        <v>Partner App</v>
      </c>
      <c r="J6" s="13">
        <f t="shared" si="3"/>
        <v>6.3496059750411282E-2</v>
      </c>
      <c r="K6" s="13">
        <f t="shared" si="4"/>
        <v>4.6071629863988765E-2</v>
      </c>
      <c r="L6" s="13">
        <f t="shared" si="5"/>
        <v>2.306247051322625E-3</v>
      </c>
      <c r="M6" s="13">
        <f t="shared" si="6"/>
        <v>3.8927934093844286E-3</v>
      </c>
    </row>
    <row r="7" spans="1:13" x14ac:dyDescent="0.3">
      <c r="A7" s="8" t="s">
        <v>70</v>
      </c>
      <c r="B7" s="12">
        <v>6.3496059750411282E-2</v>
      </c>
      <c r="C7" s="12">
        <v>4.6071629863988765E-2</v>
      </c>
      <c r="D7" s="12">
        <v>2.306247051322625E-3</v>
      </c>
      <c r="E7" s="12">
        <v>3.8927934093844286E-3</v>
      </c>
      <c r="F7" s="12">
        <v>0.11576673007510711</v>
      </c>
      <c r="I7" t="str">
        <f t="shared" si="2"/>
        <v>Target.com</v>
      </c>
      <c r="J7" s="13">
        <f t="shared" si="3"/>
        <v>9.6337892927149532E-2</v>
      </c>
      <c r="K7" s="13">
        <f t="shared" si="4"/>
        <v>6.7920115842382611E-2</v>
      </c>
      <c r="L7" s="13">
        <f t="shared" si="5"/>
        <v>5.4979832664581261E-3</v>
      </c>
      <c r="M7" s="13">
        <f t="shared" si="6"/>
        <v>1.2933041488102518E-2</v>
      </c>
    </row>
    <row r="8" spans="1:13" x14ac:dyDescent="0.3">
      <c r="A8" s="8" t="s">
        <v>40</v>
      </c>
      <c r="B8" s="12">
        <v>9.6337892927149532E-2</v>
      </c>
      <c r="C8" s="12">
        <v>6.7920115842382611E-2</v>
      </c>
      <c r="D8" s="12">
        <v>5.4979832664581261E-3</v>
      </c>
      <c r="E8" s="12">
        <v>1.2933041488102518E-2</v>
      </c>
      <c r="F8" s="12">
        <v>0.1826890335240928</v>
      </c>
      <c r="I8" t="str">
        <f t="shared" si="2"/>
        <v>Website</v>
      </c>
      <c r="J8" s="13">
        <f t="shared" si="3"/>
        <v>0.12522098709469262</v>
      </c>
      <c r="K8" s="13">
        <f t="shared" si="4"/>
        <v>9.1492740283116228E-2</v>
      </c>
      <c r="L8" s="13">
        <f t="shared" si="5"/>
        <v>6.3042760790965081E-3</v>
      </c>
      <c r="M8" s="13">
        <f t="shared" si="6"/>
        <v>1.2408404181197551E-2</v>
      </c>
    </row>
    <row r="9" spans="1:13" x14ac:dyDescent="0.3">
      <c r="A9" s="8" t="s">
        <v>35</v>
      </c>
      <c r="B9" s="12">
        <v>0.12522098709469262</v>
      </c>
      <c r="C9" s="12">
        <v>9.1492740283116228E-2</v>
      </c>
      <c r="D9" s="12">
        <v>6.3042760790965081E-3</v>
      </c>
      <c r="E9" s="12">
        <v>1.2408404181197551E-2</v>
      </c>
      <c r="F9" s="12">
        <v>0.23542640763810288</v>
      </c>
    </row>
    <row r="10" spans="1:13" x14ac:dyDescent="0.3">
      <c r="A10" s="8" t="s">
        <v>2533</v>
      </c>
      <c r="B10" s="12">
        <v>0.52495717387974916</v>
      </c>
      <c r="C10" s="12">
        <v>0.3711684913156732</v>
      </c>
      <c r="D10" s="12">
        <v>2.6245886489133303E-2</v>
      </c>
      <c r="E10" s="12">
        <v>7.7628448315444312E-2</v>
      </c>
      <c r="F10" s="12">
        <v>1</v>
      </c>
    </row>
    <row r="15" spans="1:13" x14ac:dyDescent="0.3">
      <c r="A15" s="5" t="s">
        <v>2541</v>
      </c>
      <c r="B15" s="5" t="s">
        <v>2545</v>
      </c>
    </row>
    <row r="17" spans="1:2" x14ac:dyDescent="0.3">
      <c r="A17" s="7" t="s">
        <v>2532</v>
      </c>
      <c r="B17" t="s">
        <v>2519</v>
      </c>
    </row>
    <row r="18" spans="1:2" x14ac:dyDescent="0.3">
      <c r="A18" s="8">
        <v>1</v>
      </c>
      <c r="B18">
        <v>166</v>
      </c>
    </row>
    <row r="19" spans="1:2" x14ac:dyDescent="0.3">
      <c r="A19" s="8">
        <v>2</v>
      </c>
      <c r="B19">
        <v>197</v>
      </c>
    </row>
    <row r="20" spans="1:2" x14ac:dyDescent="0.3">
      <c r="A20" s="8">
        <v>3</v>
      </c>
      <c r="B20">
        <v>123</v>
      </c>
    </row>
    <row r="21" spans="1:2" x14ac:dyDescent="0.3">
      <c r="A21" s="8">
        <v>4</v>
      </c>
      <c r="B21">
        <v>87</v>
      </c>
    </row>
    <row r="22" spans="1:2" x14ac:dyDescent="0.3">
      <c r="A22" s="8">
        <v>5</v>
      </c>
      <c r="B22">
        <v>77</v>
      </c>
    </row>
    <row r="23" spans="1:2" x14ac:dyDescent="0.3">
      <c r="A23" s="8" t="s">
        <v>2542</v>
      </c>
      <c r="B23">
        <v>134</v>
      </c>
    </row>
    <row r="24" spans="1:2" x14ac:dyDescent="0.3">
      <c r="A24" s="8" t="s">
        <v>2543</v>
      </c>
      <c r="B24">
        <v>84</v>
      </c>
    </row>
    <row r="25" spans="1:2" x14ac:dyDescent="0.3">
      <c r="A25" s="8" t="s">
        <v>2533</v>
      </c>
      <c r="B25">
        <v>868</v>
      </c>
    </row>
  </sheetData>
  <conditionalFormatting sqref="J4:M8">
    <cfRule type="colorScale" priority="1">
      <colorScale>
        <cfvo type="min"/>
        <cfvo type="percentile" val="50"/>
        <cfvo type="max"/>
        <color rgb="FFF8696B"/>
        <color rgb="FFFCFCFF"/>
        <color rgb="FF5A8AC6"/>
      </colorScale>
    </cfRule>
    <cfRule type="colorScale" priority="2">
      <colorScale>
        <cfvo type="min"/>
        <cfvo type="max"/>
        <color theme="8" tint="0.79998168889431442"/>
        <color theme="9" tint="0.39997558519241921"/>
      </colorScale>
    </cfRule>
    <cfRule type="colorScale" priority="4">
      <colorScale>
        <cfvo type="min"/>
        <cfvo type="max"/>
        <color theme="9" tint="-0.249977111117893"/>
        <color theme="8" tint="0.79998168889431442"/>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BAC19-78D5-40F9-A791-5492ABD5A85E}">
  <dimension ref="A1:AM6"/>
  <sheetViews>
    <sheetView tabSelected="1" zoomScale="80" zoomScaleNormal="80" workbookViewId="0">
      <selection activeCell="J2" sqref="J2"/>
    </sheetView>
  </sheetViews>
  <sheetFormatPr defaultRowHeight="14.4" x14ac:dyDescent="0.3"/>
  <sheetData>
    <row r="1" spans="1:39" s="11" customFormat="1" x14ac:dyDescent="0.3">
      <c r="A1" s="16"/>
      <c r="B1" s="16"/>
      <c r="C1" s="16"/>
      <c r="D1" s="16"/>
      <c r="E1" s="16"/>
      <c r="F1" s="16"/>
      <c r="G1" s="16"/>
      <c r="H1" s="16"/>
      <c r="I1" s="16"/>
      <c r="J1" s="16"/>
      <c r="K1" s="16"/>
      <c r="L1" s="16"/>
      <c r="M1" s="16"/>
      <c r="N1" s="16"/>
      <c r="O1" s="16"/>
      <c r="P1" s="16"/>
      <c r="Q1" s="16"/>
      <c r="R1" s="16"/>
      <c r="S1" s="16"/>
      <c r="T1" s="14"/>
      <c r="U1" s="16"/>
      <c r="V1" s="16"/>
      <c r="W1" s="16"/>
      <c r="X1" s="16"/>
      <c r="Y1" s="16"/>
      <c r="Z1" s="16"/>
      <c r="AA1" s="16"/>
      <c r="AB1" s="16"/>
      <c r="AC1" s="16"/>
      <c r="AD1" s="16"/>
      <c r="AE1" s="16"/>
      <c r="AF1" s="16"/>
      <c r="AG1" s="16"/>
      <c r="AH1" s="16"/>
      <c r="AI1" s="16"/>
      <c r="AJ1" s="16"/>
      <c r="AK1" s="16"/>
      <c r="AL1" s="16"/>
      <c r="AM1" s="16"/>
    </row>
    <row r="2" spans="1:39" s="11" customFormat="1" ht="28.8" x14ac:dyDescent="0.3">
      <c r="A2" s="16"/>
      <c r="B2" s="16"/>
      <c r="C2" s="16"/>
      <c r="D2" s="16"/>
      <c r="E2" s="16"/>
      <c r="F2" s="16"/>
      <c r="G2" s="16"/>
      <c r="H2" s="16"/>
      <c r="I2" s="16"/>
      <c r="J2" s="17" t="s">
        <v>2555</v>
      </c>
      <c r="K2" s="18"/>
      <c r="L2" s="18"/>
      <c r="M2" s="18"/>
      <c r="N2" s="18"/>
      <c r="O2" s="18"/>
      <c r="P2" s="16"/>
      <c r="Q2" s="16"/>
      <c r="R2" s="16"/>
      <c r="S2" s="16"/>
      <c r="T2" s="14"/>
      <c r="U2" s="16"/>
      <c r="V2" s="16"/>
      <c r="W2" s="16"/>
      <c r="X2" s="16"/>
      <c r="Y2" s="16"/>
      <c r="Z2" s="16"/>
      <c r="AA2" s="16"/>
      <c r="AB2" s="16"/>
      <c r="AC2" s="16"/>
      <c r="AD2" s="16"/>
      <c r="AE2" s="16"/>
      <c r="AF2" s="16"/>
      <c r="AG2" s="16"/>
      <c r="AH2" s="16"/>
      <c r="AI2" s="16"/>
      <c r="AJ2" s="16"/>
      <c r="AK2" s="16"/>
      <c r="AL2" s="16"/>
      <c r="AM2" s="16"/>
    </row>
    <row r="3" spans="1:39" s="11" customFormat="1" x14ac:dyDescent="0.3">
      <c r="A3" s="16"/>
      <c r="B3" s="16"/>
      <c r="C3" s="16"/>
      <c r="D3" s="16"/>
      <c r="E3" s="16"/>
      <c r="F3" s="16"/>
      <c r="G3" s="16"/>
      <c r="H3" s="16"/>
      <c r="I3" s="16"/>
      <c r="J3" s="16"/>
      <c r="K3" s="16"/>
      <c r="L3" s="16"/>
      <c r="M3" s="16"/>
      <c r="N3" s="16"/>
      <c r="O3" s="16"/>
      <c r="P3" s="16"/>
      <c r="Q3" s="16"/>
      <c r="R3" s="16"/>
      <c r="S3" s="16"/>
      <c r="T3" s="14"/>
      <c r="U3" s="16"/>
      <c r="V3" s="16"/>
      <c r="W3" s="16"/>
      <c r="X3" s="16"/>
      <c r="Y3" s="16"/>
      <c r="Z3" s="16"/>
      <c r="AA3" s="16"/>
      <c r="AB3" s="16"/>
      <c r="AC3" s="16"/>
      <c r="AD3" s="16"/>
      <c r="AE3" s="16"/>
      <c r="AF3" s="16"/>
      <c r="AG3" s="16"/>
      <c r="AH3" s="16"/>
      <c r="AI3" s="16"/>
      <c r="AJ3" s="16"/>
      <c r="AK3" s="16"/>
      <c r="AL3" s="16"/>
      <c r="AM3" s="16"/>
    </row>
    <row r="4" spans="1:39" s="10" customFormat="1" x14ac:dyDescent="0.3"/>
    <row r="5" spans="1:39" s="10" customFormat="1" x14ac:dyDescent="0.3"/>
    <row r="6" spans="1:39" s="10" customFormat="1"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Questions &amp; KPIs</vt:lpstr>
      <vt:lpstr>Pivots</vt:lpstr>
      <vt:lpstr>How they like to buy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Sowmiya Suresh</cp:lastModifiedBy>
  <dcterms:created xsi:type="dcterms:W3CDTF">2025-06-13T02:42:26Z</dcterms:created>
  <dcterms:modified xsi:type="dcterms:W3CDTF">2026-07-27T17:42:35Z</dcterms:modified>
</cp:coreProperties>
</file>