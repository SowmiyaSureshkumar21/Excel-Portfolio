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mc:AlternateContent xmlns:mc="http://schemas.openxmlformats.org/markup-compatibility/2006">
    <mc:Choice Requires="x15">
      <x15ac:absPath xmlns:x15ac="http://schemas.microsoft.com/office/spreadsheetml/2010/11/ac" url="https://d.docs.live.net/61474316ae338af4/Desktop/Call_ center_Dashboard_Excel/"/>
    </mc:Choice>
  </mc:AlternateContent>
  <xr:revisionPtr revIDLastSave="832" documentId="8_{0DF1B6C7-CBA9-4452-BD75-CB4BD9F563F5}" xr6:coauthVersionLast="47" xr6:coauthVersionMax="47" xr10:uidLastSave="{B73DAA84-BAD4-4DAA-8750-191F135A1E0C}"/>
  <bookViews>
    <workbookView xWindow="-108" yWindow="-108" windowWidth="23256" windowHeight="12456" activeTab="3" xr2:uid="{26D4546B-D2A1-4444-8EAF-A6228F96F0C1}"/>
  </bookViews>
  <sheets>
    <sheet name="Data" sheetId="2" r:id="rId1"/>
    <sheet name="Assets" sheetId="4" r:id="rId2"/>
    <sheet name="Pivots" sheetId="6" r:id="rId3"/>
    <sheet name="Call center report" sheetId="5" r:id="rId4"/>
  </sheets>
  <definedNames>
    <definedName name="_xlnm._FilterDatabase" localSheetId="0" hidden="1">Data!$B$3:$H$1003</definedName>
    <definedName name="_xlcn.WorksheetConnection_Excel_portfolio_project_1.xlsxRating1" hidden="1">Rating[]</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 id="Rating" name="Rating" connection="WorksheetConnection_Excel_portfolio_project_1.xlsx!Rating"/>
        </x15:modelTables>
        <x15:modelRelationships>
          <x15:modelRelationship fromTable="calls" fromColumn="Customer ID" toTable="customers" toColumn="Customer ID"/>
          <x15:modelRelationship fromTable="calls" fromColumn="Rating rounded" toTable="Rating" toColumn="Rating"/>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2" i="5" l="1"/>
  <c r="R30" i="5"/>
  <c r="R28" i="5"/>
  <c r="R20" i="5"/>
  <c r="K72" i="6"/>
  <c r="K61" i="6"/>
  <c r="K64" i="6" s="1"/>
  <c r="K70" i="6" s="1"/>
  <c r="K60" i="6"/>
  <c r="K63" i="6" s="1"/>
  <c r="K69" i="6" s="1"/>
  <c r="K59" i="6"/>
  <c r="K68" i="6" s="1"/>
  <c r="L42" i="6" l="1"/>
  <c r="J47" i="6" s="1"/>
  <c r="I46" i="6" l="1"/>
  <c r="I50" i="6"/>
  <c r="I49" i="6"/>
  <c r="I48" i="6"/>
  <c r="I47" i="6"/>
  <c r="J46" i="6"/>
  <c r="J51" i="6"/>
  <c r="J50" i="6"/>
  <c r="J49" i="6"/>
  <c r="J48"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s="1"/>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s="1"/>
  <c r="K101" i="2" a="1"/>
  <c r="K101" i="2" s="1"/>
  <c r="K102" i="2" a="1"/>
  <c r="K102" i="2" s="1"/>
  <c r="K103" i="2" a="1"/>
  <c r="K103" i="2"/>
  <c r="K104" i="2" a="1"/>
  <c r="K104" i="2" s="1"/>
  <c r="K105" i="2" a="1"/>
  <c r="K105" i="2" s="1"/>
  <c r="K106" i="2" a="1"/>
  <c r="K106" i="2" s="1"/>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s="1"/>
  <c r="K192" i="2" a="1"/>
  <c r="K192" i="2" s="1"/>
  <c r="K193" i="2" a="1"/>
  <c r="K193" i="2"/>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s="1"/>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s="1"/>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c r="K707" i="2" a="1"/>
  <c r="K707" i="2" s="1"/>
  <c r="K708" i="2" a="1"/>
  <c r="K708" i="2"/>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c r="K754" i="2" a="1"/>
  <c r="K754" i="2" s="1"/>
  <c r="K755" i="2" a="1"/>
  <c r="K755" i="2" s="1"/>
  <c r="K756" i="2" a="1"/>
  <c r="K756" i="2" s="1"/>
  <c r="K757" i="2" a="1"/>
  <c r="K757" i="2" s="1"/>
  <c r="K758" i="2" a="1"/>
  <c r="K758" i="2" s="1"/>
  <c r="K759" i="2" a="1"/>
  <c r="K759" i="2"/>
  <c r="K760" i="2" a="1"/>
  <c r="K760" i="2"/>
  <c r="K761" i="2" a="1"/>
  <c r="K761" i="2" s="1"/>
  <c r="K762" i="2" a="1"/>
  <c r="K762" i="2" s="1"/>
  <c r="K763" i="2" a="1"/>
  <c r="K763" i="2" s="1"/>
  <c r="K764" i="2" a="1"/>
  <c r="K764" i="2" s="1"/>
  <c r="K765" i="2" a="1"/>
  <c r="K765" i="2"/>
  <c r="K766" i="2" a="1"/>
  <c r="K766" i="2"/>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s="1"/>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s="1"/>
  <c r="K991" i="2" a="1"/>
  <c r="K991" i="2" s="1"/>
  <c r="K992" i="2" a="1"/>
  <c r="K992" i="2" s="1"/>
  <c r="K993" i="2" a="1"/>
  <c r="K993" i="2"/>
  <c r="K994" i="2" a="1"/>
  <c r="K994" i="2" s="1"/>
  <c r="K995" i="2" a="1"/>
  <c r="K995" i="2" s="1"/>
  <c r="K996" i="2" a="1"/>
  <c r="K996" i="2" s="1"/>
  <c r="K997" i="2" a="1"/>
  <c r="K997" i="2" s="1"/>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A2E106-9056-4FFD-B39A-FA832DB2BD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4FF2C66-153A-4BF0-A9FE-A68D0D6AC56D}" name="WorksheetConnection_Excel_portfolio_project_1.xlsx!Rating" type="102" refreshedVersion="8" minRefreshableVersion="5">
    <extLst>
      <ext xmlns:x15="http://schemas.microsoft.com/office/spreadsheetml/2010/11/main" uri="{DE250136-89BD-433C-8126-D09CA5730AF9}">
        <x15:connection id="Rating">
          <x15:rangePr sourceName="_xlcn.WorksheetConnection_Excel_portfolio_project_1.xlsxRating1"/>
        </x15:connection>
      </ext>
    </extLst>
  </connection>
  <connection id="3" xr16:uid="{10BF67CB-8085-4D2F-8778-79336AB2F46C}"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4" xr16:uid="{33CC0A70-10CA-4FFF-A0FE-AD7768E6E425}"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<sst xmlns="http://schemas.openxmlformats.org/spreadsheetml/2006/main" count="3220" uniqueCount="1102">
  <si>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</si>
  <si>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</si>
  <si>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</si>
  <si>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</si>
  <si>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</si>
  <si>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</si>
  <si>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</si>
  <si>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</si>
  <si>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</si>
  <si>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</si>
  <si>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</si>
  <si>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</si>
  <si>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</si>
  <si>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</si>
  <si>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</si>
  <si>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</si>
  <si>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</si>
  <si>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</si>
  <si>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</si>
  <si>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</si>
  <si>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</si>
  <si>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</si>
  <si>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</si>
  <si>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</si>
  <si>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</si>
  <si>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</si>
  <si>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</si>
  <si>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</si>
  <si>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</si>
  <si>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</si>
  <si>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</si>
  <si>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</si>
  <si>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</si>
  <si>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</si>
  <si>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</si>
  <si>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</si>
  <si>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</si>
  <si>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</si>
  <si>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</si>
  <si>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</si>
  <si>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</si>
  <si>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</si>
  <si>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</si>
  <si>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</si>
  <si>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</si>
  <si>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</si>
  <si>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</si>
  <si>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</si>
  <si>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</si>
  <si>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</si>
  <si>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</si>
  <si>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</si>
  <si>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</si>
  <si>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</si>
  <si>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</si>
  <si>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</si>
  <si>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</si>
  <si>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</si>
  <si>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</si>
  <si>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</si>
  <si>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</si>
  <si>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</si>
  <si>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</si>
  <si>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</si>
  <si>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</si>
  <si>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</si>
  <si>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</si>
  <si>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</si>
  <si>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</si>
  <si>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</si>
  <si>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</si>
  <si>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</si>
  <si>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</si>
  <si>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</si>
  <si>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</si>
  <si>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</si>
  <si>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</si>
  <si>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</si>
  <si>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</si>
  <si>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</si>
  <si>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</si>
  <si>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</si>
  <si>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</si>
  <si>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</si>
  <si>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</si>
  <si>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</si>
  <si>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</si>
  <si>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</si>
  <si>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</si>
  <si>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</si>
  <si>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</si>
  <si>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</si>
  <si>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</si>
  <si>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</si>
  <si>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</si>
  <si>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</si>
  <si>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</si>
  <si>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</si>
  <si>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</si>
  <si>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</si>
  <si>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</si>
  <si>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</si>
  <si>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</si>
  <si>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</si>
  <si>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</si>
  <si>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</si>
  <si>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</si>
  <si>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</si>
  <si>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</si>
  <si>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</si>
  <si>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</si>
  <si>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</si>
  <si>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</si>
  <si>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</si>
  <si>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</si>
  <si>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</si>
  <si>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</si>
  <si>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</si>
  <si>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</si>
  <si>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</si>
  <si>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</si>
  <si>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</si>
  <si>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</si>
  <si>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</si>
  <si>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</si>
  <si>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</si>
  <si>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</si>
  <si>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</si>
  <si>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</si>
  <si>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</si>
  <si>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</si>
  <si>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</si>
  <si>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</si>
  <si>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</si>
  <si>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</si>
  <si>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</si>
  <si>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</si>
  <si>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</si>
  <si>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</si>
  <si>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</si>
  <si>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</si>
  <si>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</si>
  <si>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</si>
  <si>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</si>
  <si>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</si>
  <si>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</si>
  <si>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</si>
  <si>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</si>
  <si>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</si>
  <si>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</si>
  <si>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</si>
  <si>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</si>
  <si>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</si>
  <si>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</si>
  <si>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</si>
  <si>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</si>
  <si>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</si>
  <si>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</si>
  <si>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</si>
  <si>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</si>
  <si>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</si>
  <si>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</si>
  <si>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</si>
  <si>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</si>
  <si>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</si>
  <si>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</si>
  <si>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</si>
  <si>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</si>
  <si>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</si>
  <si>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</si>
  <si>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</si>
  <si>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</si>
  <si>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</si>
  <si>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</si>
  <si>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</si>
  <si>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</si>
  <si>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</si>
  <si>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</si>
  <si>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</si>
  <si>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</si>
  <si>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</si>
  <si>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</si>
  <si>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</si>
  <si>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</si>
  <si>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</si>
  <si>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</si>
  <si>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</si>
  <si>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</si>
  <si>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</si>
  <si>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</si>
  <si>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</si>
  <si>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</si>
  <si>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</si>
  <si>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</si>
  <si>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</si>
  <si>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</si>
  <si>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</si>
  <si>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</si>
  <si>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</si>
  <si>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</si>
  <si>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</si>
  <si>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</si>
  <si>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</si>
  <si>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</si>
  <si>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</si>
  <si>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</si>
  <si>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</si>
  <si>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</si>
  <si>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</si>
  <si>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</si>
  <si>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</si>
  <si>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</si>
  <si>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</si>
  <si>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</si>
  <si>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</si>
  <si>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</si>
  <si>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</si>
  <si>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</si>
  <si>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</si>
  <si>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</si>
  <si>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</si>
  <si>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</si>
  <si>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</si>
  <si>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</si>
  <si>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</si>
  <si>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</si>
  <si>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</si>
  <si>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</si>
  <si>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</si>
  <si>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</si>
  <si>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</si>
  <si>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</si>
  <si>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</si>
  <si>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</si>
  <si>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</si>
  <si>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</si>
  <si>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</si>
  <si>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</si>
  <si>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</si>
  <si>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</si>
  <si>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</si>
  <si>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</si>
  <si>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</si>
  <si>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</si>
  <si>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</si>
  <si>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</si>
  <si>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</si>
  <si>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</si>
  <si>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</si>
  <si>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</si>
  <si>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</si>
  <si>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</si>
  <si>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</si>
  <si>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</si>
  <si>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</si>
  <si>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</si>
  <si>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</si>
  <si>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</si>
  <si>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</si>
  <si>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</si>
  <si>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</si>
  <si>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</si>
  <si>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</si>
  <si>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</si>
  <si>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</si>
  <si>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</si>
  <si>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</si>
  <si>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</si>
  <si>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</si>
  <si>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</si>
  <si>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</si>
  <si>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</si>
  <si>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</si>
  <si>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</si>
  <si>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</si>
  <si>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</si>
  <si>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</si>
  <si>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</si>
  <si>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</si>
  <si>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</si>
  <si>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</si>
  <si>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</si>
  <si>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</si>
  <si>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</si>
  <si>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</si>
  <si>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</si>
  <si>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</si>
  <si>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</si>
  <si>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</si>
  <si>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</si>
  <si>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</si>
  <si>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</si>
  <si>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</si>
  <si>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</si>
  <si>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</si>
  <si>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</si>
  <si>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</si>
  <si>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</si>
  <si>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</si>
  <si>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</si>
  <si>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</si>
  <si>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</si>
  <si>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</si>
  <si>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</si>
  <si>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</si>
  <si>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</si>
  <si>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</si>
  <si>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</si>
  <si>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</si>
  <si>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</si>
  <si>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</si>
  <si>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</si>
  <si>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</si>
  <si>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</si>
  <si>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</si>
  <si>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</si>
  <si>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</si>
  <si>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</si>
  <si>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</si>
  <si>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</si>
  <si>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</si>
  <si>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</si>
  <si>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</si>
  <si>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</si>
  <si>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</si>
  <si>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</si>
  <si>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</si>
  <si>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</si>
  <si>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</si>
  <si>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</si>
  <si>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</si>
  <si>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</si>
  <si>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</si>
  <si>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</si>
  <si>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</si>
  <si>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</si>
  <si>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</si>
  <si>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</si>
  <si>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</si>
  <si>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</si>
  <si>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</si>
  <si>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</si>
  <si>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</si>
  <si>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</si>
  <si>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</si>
  <si>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</si>
  <si>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</si>
  <si>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</si>
  <si>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</si>
  <si>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</si>
  <si>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</si>
  <si>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</si>
  <si>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</si>
  <si>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</si>
  <si>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</si>
  <si>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</si>
  <si>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</si>
  <si>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</si>
  <si>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</si>
  <si>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</si>
  <si>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</si>
  <si>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</si>
  <si>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</si>
  <si>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</si>
  <si>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</si>
  <si>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</si>
  <si>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</si>
  <si>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</si>
  <si>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</si>
  <si>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</si>
  <si>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</si>
  <si>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</si>
  <si>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</si>
  <si>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</si>
  <si>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</si>
  <si>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</si>
  <si>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</si>
  <si>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</si>
  <si>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</si>
  <si>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</si>
  <si>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</si>
  <si>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</si>
  <si>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</si>
  <si>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</si>
  <si>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</si>
  <si>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</si>
  <si>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</si>
  <si>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</si>
  <si>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</si>
  <si>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</si>
  <si>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</si>
  <si>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</si>
  <si>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</si>
  <si>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</si>
  <si>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</si>
  <si>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</si>
  <si>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</si>
  <si>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</si>
  <si>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</si>
  <si>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</si>
  <si>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</si>
  <si>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</si>
  <si>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</si>
  <si>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</si>
  <si>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</si>
  <si>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</si>
  <si>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</si>
  <si>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</si>
  <si>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</si>
  <si>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</si>
  <si>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</si>
  <si>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</si>
  <si>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</si>
  <si>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</si>
  <si>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</si>
  <si>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</si>
  <si>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</si>
  <si>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</si>
  <si>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</si>
  <si>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</si>
  <si>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</si>
  <si>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</si>
  <si>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</si>
  <si>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</si>
  <si>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</si>
  <si>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</si>
  <si>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</si>
  <si>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</si>
  <si>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</si>
  <si>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</si>
  <si>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</si>
  <si>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</si>
  <si>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</si>
  <si>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</si>
  <si>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</si>
  <si>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</si>
  <si>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</si>
  <si>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</si>
  <si>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</si>
  <si>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</si>
  <si>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</si>
  <si>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</si>
  <si>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</si>
  <si>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</si>
  <si>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</si>
  <si>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</si>
  <si>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</si>
  <si>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</si>
  <si>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</si>
  <si>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</si>
  <si>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</si>
  <si>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</si>
  <si>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</si>
  <si>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</si>
  <si>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</si>
  <si>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</si>
  <si>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</si>
  <si>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</si>
  <si>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</si>
  <si>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</si>
  <si>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</si>
  <si>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</si>
  <si>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</si>
  <si>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</si>
  <si>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</si>
  <si>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</si>
  <si>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</si>
  <si>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</si>
  <si>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</si>
  <si>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</si>
  <si>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</si>
  <si>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</si>
  <si>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</si>
  <si>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</si>
  <si>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</si>
  <si>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</si>
  <si>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</si>
  <si>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</si>
  <si>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</si>
  <si>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</si>
  <si>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</si>
  <si>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</si>
  <si>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</si>
  <si>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</si>
  <si>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</si>
  <si>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</si>
  <si>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</si>
  <si>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</si>
  <si>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</si>
  <si>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</si>
  <si>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</si>
  <si>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</si>
  <si>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</si>
  <si>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</si>
  <si>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</si>
  <si>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</si>
  <si>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</si>
  <si>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</si>
  <si>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</si>
  <si>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</si>
  <si>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</si>
  <si>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</si>
  <si>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</si>
  <si>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</si>
  <si>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</si>
  <si>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</si>
  <si>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</si>
  <si>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</si>
  <si>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</si>
  <si>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</si>
  <si>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</si>
  <si>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</si>
  <si>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</si>
  <si>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</si>
  <si>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</si>
  <si>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</si>
  <si>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</si>
  <si>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</si>
  <si>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</si>
  <si>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</si>
  <si>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</si>
  <si>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</si>
  <si>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</si>
  <si>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</si>
  <si>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</si>
  <si>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</si>
  <si>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</si>
  <si>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</si>
  <si>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</si>
  <si>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</si>
  <si>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</si>
  <si>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</si>
  <si>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</si>
  <si>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</si>
  <si>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</si>
  <si>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</si>
  <si>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</si>
  <si>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</si>
  <si>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</si>
  <si>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</si>
  <si>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</si>
  <si>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</si>
  <si>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</si>
  <si>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</si>
  <si>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</si>
  <si>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</si>
  <si>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</si>
  <si>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</si>
  <si>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</si>
  <si>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</si>
  <si>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</si>
  <si>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</si>
  <si>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</si>
  <si>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</si>
  <si>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</si>
  <si>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</si>
  <si>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</si>
  <si>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</si>
  <si>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</si>
  <si>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</si>
  <si>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</si>
  <si>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</si>
  <si>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</si>
  <si>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</si>
  <si>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</si>
  <si>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</si>
  <si>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</si>
  <si>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</si>
  <si>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</si>
  <si>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</si>
  <si>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</si>
  <si>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</si>
  <si>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</si>
  <si>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</si>
  <si>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</si>
  <si>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</si>
  <si>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</si>
  <si>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</si>
  <si>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</si>
  <si>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</si>
  <si>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</si>
  <si>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</si>
  <si>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</si>
  <si>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</si>
  <si>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</si>
  <si>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</si>
  <si>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</si>
  <si>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</si>
  <si>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</si>
  <si>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</si>
  <si>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</si>
  <si>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</si>
  <si>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</si>
  <si>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</si>
  <si>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</si>
  <si>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</si>
  <si>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</si>
  <si>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</si>
  <si>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</si>
  <si>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</si>
  <si>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</si>
  <si>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</si>
  <si>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</si>
  <si>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</si>
  <si>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</si>
  <si>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</si>
  <si>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</si>
  <si>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</si>
  <si>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</si>
  <si>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</si>
  <si>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</si>
  <si>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</si>
  <si>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</si>
  <si>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</si>
  <si>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</si>
  <si>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</si>
  <si>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</si>
  <si>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</si>
  <si>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</si>
  <si>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</si>
  <si>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</si>
  <si>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</si>
  <si>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</si>
  <si>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</si>
  <si>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</si>
  <si>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</si>
  <si>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</si>
  <si>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</si>
  <si>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</si>
  <si>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</si>
  <si>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</si>
  <si>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</si>
  <si>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</si>
  <si>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</si>
  <si>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</si>
  <si>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</si>
  <si>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</si>
  <si>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</si>
  <si>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</si>
  <si>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</si>
  <si>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</si>
  <si>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</si>
  <si>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</si>
  <si>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</si>
  <si>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</si>
  <si>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</si>
  <si>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</si>
  <si>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</si>
  <si>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</si>
  <si>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</si>
  <si>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</si>
  <si>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</si>
  <si>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</si>
  <si>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</si>
  <si>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</si>
  <si>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</si>
  <si>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</si>
  <si>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</si>
  <si>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</si>
  <si>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</si>
  <si>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</si>
  <si>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</si>
  <si>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</si>
  <si>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</si>
  <si>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</si>
  <si>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</si>
  <si>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</si>
  <si>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</si>
  <si>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</si>
  <si>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</si>
  <si>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</si>
  <si>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</si>
  <si>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</si>
  <si>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</si>
  <si>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</si>
  <si>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</si>
  <si>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</si>
  <si>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</si>
  <si>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</si>
  <si>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</si>
  <si>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</si>
  <si>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</si>
  <si>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</si>
  <si>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</si>
  <si>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</si>
  <si>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</si>
  <si>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</si>
  <si>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</si>
  <si>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</si>
  <si>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</si>
  <si>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</si>
  <si>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</si>
  <si>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</si>
  <si>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</si>
  <si>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</si>
  <si>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</si>
  <si>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</si>
  <si>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</si>
  <si>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</si>
  <si>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</si>
  <si>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</si>
  <si>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</si>
  <si>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</si>
  <si>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</si>
  <si>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</si>
  <si>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</si>
  <si>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</si>
  <si>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</si>
  <si>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</si>
  <si>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</si>
  <si>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</si>
  <si>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</si>
  <si>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</si>
  <si>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</si>
  <si>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</si>
  <si>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</si>
  <si>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</si>
  <si>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</si>
  <si>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</si>
  <si>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</si>
  <si>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</si>
  <si>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</si>
  <si>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</si>
  <si>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</si>
  <si>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</si>
  <si>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</si>
  <si>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</si>
  <si>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</si>
  <si>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</si>
  <si>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</si>
  <si>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</si>
  <si>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</si>
  <si>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</si>
  <si>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</si>
  <si>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</si>
  <si>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</si>
  <si>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</si>
  <si>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</si>
  <si>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</si>
  <si>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</si>
  <si>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</si>
  <si>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</si>
  <si>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</si>
  <si>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</si>
  <si>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</si>
  <si>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</si>
  <si>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</si>
  <si>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</si>
  <si>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</si>
  <si>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</si>
  <si>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</si>
  <si>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</si>
  <si>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</si>
  <si>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</si>
  <si>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</si>
  <si>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</si>
  <si>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</si>
  <si>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</si>
  <si>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</si>
  <si>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</si>
  <si>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</si>
  <si>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</si>
  <si>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</si>
  <si>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</si>
  <si>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</si>
  <si>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</si>
  <si>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</si>
  <si>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</si>
  <si>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</si>
  <si>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</si>
  <si>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</si>
  <si>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</si>
  <si>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</si>
  <si>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</si>
  <si>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</si>
  <si>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</si>
  <si>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</si>
  <si>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</si>
  <si>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</si>
  <si>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</si>
  <si>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</si>
  <si>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</si>
  <si>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</si>
  <si>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</si>
  <si>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</si>
  <si>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</si>
  <si>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</si>
  <si>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</si>
  <si>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</si>
  <si>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</si>
  <si>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</si>
  <si>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</si>
  <si>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</si>
  <si>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</si>
  <si>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</si>
  <si>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</si>
  <si>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</si>
  <si>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</si>
  <si>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</si>
  <si>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</si>
  <si>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</si>
  <si>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</si>
  <si>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</si>
  <si>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</si>
  <si>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</si>
  <si>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</si>
  <si>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</si>
  <si>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</si>
  <si>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</si>
  <si>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</si>
  <si>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</si>
  <si>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</si>
  <si>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</si>
  <si>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</si>
  <si>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</si>
  <si>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</si>
  <si>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</si>
  <si>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</si>
  <si>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</si>
  <si>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</si>
  <si>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</si>
  <si>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</si>
  <si>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</si>
  <si>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</si>
  <si>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</si>
  <si>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</si>
  <si>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</si>
  <si>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</si>
  <si>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</si>
  <si>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</si>
  <si>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</si>
  <si>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</si>
  <si>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</si>
  <si>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</si>
  <si>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</si>
  <si>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</si>
  <si>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</si>
  <si>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</si>
  <si>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</si>
  <si>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</si>
  <si>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</si>
  <si>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</si>
  <si>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</si>
  <si>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</si>
  <si>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</si>
  <si>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</si>
  <si>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</si>
  <si>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</si>
  <si>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</si>
  <si>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</si>
  <si>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</si>
  <si>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</si>
  <si>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</si>
  <si>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</si>
  <si>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</si>
  <si>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</si>
  <si>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</si>
  <si>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</si>
  <si>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</si>
  <si>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</si>
  <si>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</si>
  <si>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</si>
  <si>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</si>
  <si>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</si>
  <si>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</si>
  <si>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</si>
  <si>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</si>
  <si>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</si>
  <si>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</si>
  <si>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</si>
  <si>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</si>
  <si>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</si>
  <si>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</si>
  <si>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</si>
  <si>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</si>
  <si>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</si>
  <si>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</si>
  <si>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</si>
  <si>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</si>
  <si>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</si>
  <si>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</si>
  <si>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</si>
  <si>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</si>
  <si>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</si>
  <si>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</si>
  <si>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</si>
  <si>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</si>
  <si>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</si>
  <si>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</si>
  <si>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</si>
  <si>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</si>
  <si>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</si>
  <si>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</si>
  <si>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</si>
  <si>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</si>
  <si>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</si>
  <si>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</si>
  <si>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</si>
  <si>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</si>
  <si>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</si>
  <si>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</si>
  <si>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</si>
  <si>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</si>
  <si>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</si>
  <si>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</si>
  <si>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</si>
  <si>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</si>
  <si>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</si>
  <si>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</si>
  <si>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</si>
  <si>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</si>
  <si>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</si>
  <si>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</si>
  <si>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</si>
  <si>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</si>
  <si>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</si>
  <si>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</si>
  <si>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</si>
  <si>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</si>
  <si>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</si>
  <si>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</si>
  <si>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</si>
  <si>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</si>
  <si>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</si>
  <si>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</si>
  <si>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</si>
  <si>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</si>
  <si>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</si>
  <si>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</si>
  <si>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</si>
  <si>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</si>
  <si>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</si>
  <si>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</si>
  <si>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</si>
  <si>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</si>
  <si>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</si>
  <si>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</si>
  <si>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</si>
  <si>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</si>
  <si>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</si>
  <si>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</si>
  <si>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</si>
  <si>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</si>
  <si>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</si>
  <si>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</si>
  <si>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</si>
  <si>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</si>
  <si>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</si>
  <si>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</si>
  <si>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</si>
  <si>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</si>
  <si>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</si>
  <si>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</si>
  <si>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</si>
  <si>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</si>
  <si>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</si>
  <si>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</si>
  <si>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</si>
  <si>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</si>
  <si>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</si>
  <si>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</si>
  <si>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</si>
  <si>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</si>
  <si>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</si>
  <si>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</si>
  <si>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</si>
  <si>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</si>
  <si>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</si>
  <si>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</si>
  <si>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</si>
  <si>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</si>
  <si>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</si>
  <si>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</si>
  <si>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</si>
  <si>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</si>
  <si>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</si>
  <si>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</si>
  <si>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</si>
  <si>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</si>
  <si>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</si>
  <si>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</si>
  <si>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</si>
  <si>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</si>
  <si>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</si>
  <si>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</si>
  <si>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</si>
  <si>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</si>
  <si>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</si>
  <si>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</si>
  <si>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</si>
  <si>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</si>
  <si>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</si>
  <si>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</si>
  <si>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</si>
  <si>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</si>
  <si>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</si>
  <si>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</si>
  <si>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</si>
  <si>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</si>
  <si>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</si>
  <si>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</si>
  <si>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</si>
  <si>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</si>
  <si>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</si>
  <si>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</si>
  <si>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</si>
  <si>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</si>
  <si>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</si>
  <si>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</si>
  <si>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</si>
  <si>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</si>
  <si>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</si>
  <si>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</si>
  <si>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</si>
  <si>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</si>
  <si>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</si>
  <si>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</si>
  <si>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</si>
  <si>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</si>
  <si>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</si>
  <si>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</si>
  <si>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</si>
  <si>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</si>
  <si>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</si>
  <si>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</si>
  <si>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</si>
  <si>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</si>
  <si>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</si>
  <si>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</si>
  <si>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</si>
  <si>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</si>
  <si>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</si>
  <si>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</si>
  <si>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</si>
  <si>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</si>
  <si>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</si>
  <si>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</si>
  <si>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</si>
  <si>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</si>
  <si>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</si>
  <si>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</si>
  <si>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</si>
  <si>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</si>
  <si>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</si>
  <si>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Call_Count</t>
  </si>
  <si>
    <t>Total_Amount</t>
  </si>
  <si>
    <t>Total_Duration</t>
  </si>
  <si>
    <t>Average_Rating</t>
  </si>
  <si>
    <t>5* calls</t>
  </si>
  <si>
    <t>Pivot 1:</t>
  </si>
  <si>
    <t>Summary Pivot</t>
  </si>
  <si>
    <t>Pivot 2:</t>
  </si>
  <si>
    <t>Rep Pivot</t>
  </si>
  <si>
    <t>Jan</t>
  </si>
  <si>
    <t>Feb</t>
  </si>
  <si>
    <t>Mar</t>
  </si>
  <si>
    <t>Apr</t>
  </si>
  <si>
    <t>May</t>
  </si>
  <si>
    <t>Jun</t>
  </si>
  <si>
    <t>Jul</t>
  </si>
  <si>
    <t>Aug</t>
  </si>
  <si>
    <t>Sep</t>
  </si>
  <si>
    <t>Oct</t>
  </si>
  <si>
    <t>Nov</t>
  </si>
  <si>
    <t>Dec</t>
  </si>
  <si>
    <t>Pivot 3:</t>
  </si>
  <si>
    <t>Monthly call count</t>
  </si>
  <si>
    <t>Call_Count2</t>
  </si>
  <si>
    <t>Pivot 4:</t>
  </si>
  <si>
    <t>Weekly call count</t>
  </si>
  <si>
    <t>Friday</t>
  </si>
  <si>
    <t>Monday</t>
  </si>
  <si>
    <t>Saturday</t>
  </si>
  <si>
    <t>Sunday</t>
  </si>
  <si>
    <t>Thursday</t>
  </si>
  <si>
    <t>Tuesday</t>
  </si>
  <si>
    <t>Wednesday</t>
  </si>
  <si>
    <t>Pivot 5:</t>
  </si>
  <si>
    <t>Reps pivot</t>
  </si>
  <si>
    <t>For graph</t>
  </si>
  <si>
    <t>Pivot 6:</t>
  </si>
  <si>
    <t>Seleted rep</t>
  </si>
  <si>
    <t xml:space="preserve">Seleted Rep: </t>
  </si>
  <si>
    <t>Selected rep call count</t>
  </si>
  <si>
    <t>Select rep amount</t>
  </si>
  <si>
    <t>Pivot 7:</t>
  </si>
  <si>
    <t>Male Vs Female callers</t>
  </si>
  <si>
    <t>Column Labels</t>
  </si>
  <si>
    <t>Pivot 8:</t>
  </si>
  <si>
    <t>Satisfaction Rating count</t>
  </si>
  <si>
    <t>Rating</t>
  </si>
  <si>
    <t>Pivot 9:</t>
  </si>
  <si>
    <t>Customer amount</t>
  </si>
  <si>
    <t>Rep Summary</t>
  </si>
  <si>
    <t>% of calls</t>
  </si>
  <si>
    <t xml:space="preserve">calls </t>
  </si>
  <si>
    <t>amount</t>
  </si>
  <si>
    <t>call rank</t>
  </si>
  <si>
    <t xml:space="preserve">amount rank </t>
  </si>
  <si>
    <t>Labels:</t>
  </si>
  <si>
    <t>Image:</t>
  </si>
  <si>
    <t>CALL CENTER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</si>
</sst>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409]#,##0_ ;\-[$$-409]#,##0\ "/>
    <numFmt numFmtId="166" formatCode="0.0"/>
    <numFmt numFmtId="167" formatCode="\$#,###.0,&quot;K&quot;"/>
    <numFmt numFmtId="168" formatCode="\$#,##0;\(\$#,##0\);\$#,##0"/>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ExtraBold"/>
      <family val="2"/>
      <scheme val="major"/>
    </font>
    <font>
      <b/>
      <u/>
      <sz val="11"/>
      <color theme="1"/>
      <name val="Aptos"/>
      <family val="2"/>
      <scheme val="minor"/>
    </font>
    <font>
      <sz val="11"/>
      <color theme="1"/>
      <name val="Aptos"/>
      <family val="2"/>
      <scheme val="minor"/>
    </font>
    <font>
      <b/>
      <sz val="20"/>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ck">
        <color theme="0"/>
      </right>
      <top style="thin">
        <color theme="0" tint="-0.14999847407452621"/>
      </top>
      <bottom style="thin">
        <color theme="0" tint="-0.34998626667073579"/>
      </bottom>
      <diagonal/>
    </border>
    <border>
      <left style="thick">
        <color theme="0"/>
      </left>
      <right style="thick">
        <color theme="0"/>
      </right>
      <top style="thin">
        <color theme="0" tint="-0.14999847407452621"/>
      </top>
      <bottom style="thin">
        <color theme="0" tint="-0.34998626667073579"/>
      </bottom>
      <diagonal/>
    </border>
    <border>
      <left style="thick">
        <color theme="0"/>
      </left>
      <right/>
      <top style="thin">
        <color theme="0" tint="-0.14999847407452621"/>
      </top>
      <bottom style="thin">
        <color theme="0" tint="-0.34998626667073579"/>
      </bottom>
      <diagonal/>
    </border>
    <border>
      <left/>
      <right style="thick">
        <color theme="0"/>
      </right>
      <top style="thin">
        <color theme="0" tint="-0.14999847407452621"/>
      </top>
      <bottom style="thin">
        <color theme="0" tint="-0.14999847407452621"/>
      </bottom>
      <diagonal/>
    </border>
    <border>
      <left style="thick">
        <color theme="0"/>
      </left>
      <right style="thick">
        <color theme="0"/>
      </right>
      <top style="thin">
        <color theme="0" tint="-0.14999847407452621"/>
      </top>
      <bottom style="thin">
        <color theme="0" tint="-0.14999847407452621"/>
      </bottom>
      <diagonal/>
    </border>
    <border>
      <left style="thick">
        <color theme="0"/>
      </left>
      <right/>
      <top style="thin">
        <color theme="0" tint="-0.14999847407452621"/>
      </top>
      <bottom style="thin">
        <color theme="0" tint="-0.14999847407452621"/>
      </bottom>
      <diagonal/>
    </border>
    <border>
      <left/>
      <right/>
      <top style="thin">
        <color theme="0" tint="-0.14999847407452621"/>
      </top>
      <bottom style="thin">
        <color theme="1" tint="0.499984740745262"/>
      </bottom>
      <diagonal/>
    </border>
  </borders>
  <cellStyleXfs count="2">
    <xf numFmtId="0" fontId="0" fillId="0" borderId="0"/>
    <xf numFmtId="9" fontId="6" fillId="0" borderId="0" applyFont="0" applyFill="0" applyBorder="0" applyAlignment="0" applyProtection="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0" borderId="0" xfId="0" pivotButton="1"/>
    <xf numFmtId="0" fontId="0" fillId="0" borderId="0" xfId="0" applyAlignment="1">
      <alignment horizontal="left"/>
    </xf>
    <xf numFmtId="3" fontId="0" fillId="0" borderId="0" xfId="0" applyNumberFormat="1"/>
    <xf numFmtId="165" fontId="0" fillId="0" borderId="0" xfId="0" applyNumberFormat="1"/>
    <xf numFmtId="166" fontId="0" fillId="0" borderId="0" xfId="0" applyNumberFormat="1"/>
    <xf numFmtId="0" fontId="1" fillId="3" borderId="0" xfId="0" applyFont="1" applyFill="1"/>
    <xf numFmtId="0" fontId="4" fillId="3" borderId="0" xfId="0" applyFont="1" applyFill="1"/>
    <xf numFmtId="0" fontId="5" fillId="0" borderId="0" xfId="0" applyFont="1"/>
    <xf numFmtId="167" fontId="0" fillId="0" borderId="1" xfId="0" applyNumberFormat="1" applyBorder="1"/>
    <xf numFmtId="0" fontId="1" fillId="0" borderId="16" xfId="0" applyFont="1" applyBorder="1"/>
    <xf numFmtId="0" fontId="0" fillId="0" borderId="0" xfId="0" applyAlignment="1">
      <alignment horizontal="left" indent="1"/>
    </xf>
    <xf numFmtId="168" fontId="0" fillId="0" borderId="0" xfId="0" applyNumberFormat="1"/>
    <xf numFmtId="0" fontId="1" fillId="0" borderId="13" xfId="0" applyFont="1" applyBorder="1" applyAlignment="1">
      <alignment horizontal="left"/>
    </xf>
    <xf numFmtId="0" fontId="0" fillId="0" borderId="13" xfId="0" applyBorder="1" applyAlignment="1">
      <alignment horizontal="left" indent="1"/>
    </xf>
    <xf numFmtId="168" fontId="0" fillId="0" borderId="14" xfId="0" applyNumberFormat="1" applyBorder="1"/>
    <xf numFmtId="168" fontId="0" fillId="0" borderId="15" xfId="0" applyNumberFormat="1" applyBorder="1"/>
    <xf numFmtId="0" fontId="0" fillId="0" borderId="10" xfId="0" applyBorder="1" applyAlignment="1">
      <alignment horizontal="left" indent="1"/>
    </xf>
    <xf numFmtId="168" fontId="0" fillId="0" borderId="11" xfId="0" applyNumberFormat="1" applyBorder="1"/>
    <xf numFmtId="168" fontId="0" fillId="0" borderId="12" xfId="0" applyNumberFormat="1" applyBorder="1"/>
    <xf numFmtId="9" fontId="0" fillId="0" borderId="0" xfId="1" applyFont="1"/>
    <xf numFmtId="0" fontId="0" fillId="3" borderId="0" xfId="0" applyFill="1" applyAlignment="1">
      <alignment horizontal="center"/>
    </xf>
    <xf numFmtId="0" fontId="1" fillId="3" borderId="0" xfId="0" applyFont="1" applyFill="1" applyAlignment="1">
      <alignment horizontal="center" vertical="center"/>
    </xf>
    <xf numFmtId="0" fontId="0" fillId="3" borderId="0" xfId="0" applyFill="1" applyAlignment="1">
      <alignment horizontal="center"/>
    </xf>
    <xf numFmtId="0" fontId="1" fillId="3" borderId="0" xfId="0" applyFont="1" applyFill="1" applyAlignment="1">
      <alignment horizontal="center" vertical="center"/>
    </xf>
    <xf numFmtId="0" fontId="7" fillId="4" borderId="0" xfId="0" applyFont="1" applyFill="1" applyAlignment="1">
      <alignment horizontal="center" vertical="center"/>
    </xf>
  </cellXfs>
  <cellStyles count="2">
    <cellStyle name="Normal" xfId="0" builtinId="0"/>
    <cellStyle name="Percent" xfId="1" builtinId="5"/>
  </cellStyles>
  <dxfs count="36">
    <dxf>
      <fill>
        <patternFill>
          <bgColor theme="8" tint="0.59996337778862885"/>
        </patternFill>
      </fill>
    </dxf>
    <dxf>
      <fill>
        <patternFill>
          <fgColor theme="8" tint="0.59996337778862885"/>
          <bgColor theme="8" tint="0.59996337778862885"/>
        </patternFill>
      </fill>
      <border>
        <left style="thin">
          <color theme="1"/>
        </left>
        <right style="thin">
          <color theme="1"/>
        </right>
        <vertical/>
        <horizontal/>
      </border>
    </dxf>
    <dxf>
      <numFmt numFmtId="165" formatCode="[$$-409]#,##0_ ;\-[$$-409]#,##0\ "/>
    </dxf>
    <dxf>
      <numFmt numFmtId="169" formatCode="#,##0_ ;\-#,##0\ "/>
    </dxf>
    <dxf>
      <numFmt numFmtId="165" formatCode="[$$-409]#,##0_ ;\-[$$-409]#,##0\ "/>
    </dxf>
    <dxf>
      <numFmt numFmtId="169" formatCode="#,##0_ ;\-#,##0\ "/>
    </dxf>
    <dxf>
      <numFmt numFmtId="165" formatCode="[$$-409]#,##0_ ;\-[$$-409]#,##0\ "/>
    </dxf>
    <dxf>
      <numFmt numFmtId="169" formatCode="#,##0_ ;\-#,##0\ "/>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color theme="1"/>
      </font>
      <fill>
        <patternFill patternType="solid">
          <fgColor theme="0"/>
          <bgColor theme="0"/>
        </patternFill>
      </fill>
      <border>
        <top style="thin">
          <color theme="1" tint="0.499984740745262"/>
        </top>
        <bottom style="thin">
          <color theme="1" tint="0.499984740745262"/>
        </bottom>
      </border>
    </dxf>
    <dxf>
      <font>
        <b/>
        <color theme="1"/>
      </font>
      <border>
        <top/>
        <bottom style="thin">
          <color theme="1" tint="0.499984740745262"/>
        </bottom>
        <vertical/>
      </border>
    </dxf>
    <dxf>
      <font>
        <color theme="1"/>
      </font>
      <border>
        <left/>
        <right/>
        <top/>
        <bottom style="thin">
          <color theme="0" tint="-0.34998626667073579"/>
        </bottom>
        <vertical style="thick">
          <color theme="0"/>
        </vertical>
        <horizontal style="thin">
          <color theme="0" tint="-0.14999847407452621"/>
        </horizontal>
      </border>
    </dxf>
  </dxfs>
  <tableStyles count="3" defaultTableStyle="TableStyleMedium2" defaultPivotStyle="PivotStyleLight16">
    <tableStyle name="New_Pivot_Style" table="0" count="11" xr9:uid="{E51AA930-48C5-4600-A734-00D8B97EE3B3}">
      <tableStyleElement type="wholeTable" dxfId="35"/>
      <tableStyleElement type="headerRow" dxfId="34"/>
      <tableStyleElement type="totalRow" dxfId="33"/>
      <tableStyleElement type="firstRowStripe" dxfId="32"/>
      <tableStyleElement type="firstColumnStripe" dxfId="31"/>
      <tableStyleElement type="firstSubtotalRow" dxfId="30"/>
      <tableStyleElement type="secondSubtotalRow" dxfId="29"/>
      <tableStyleElement type="firstRowSubheading" dxfId="28"/>
      <tableStyleElement type="secondRowSubheading" dxfId="27"/>
      <tableStyleElement type="pageFieldLabels" dxfId="26"/>
      <tableStyleElement type="pageFieldValues" dxfId="25"/>
    </tableStyle>
    <tableStyle name="New_slicer_style" pivot="0" table="0" count="10" xr9:uid="{FC9BC385-E711-4401-BE5C-06CA87380BCA}">
      <tableStyleElement type="wholeTable" dxfId="24"/>
      <tableStyleElement type="headerRow" dxfId="23"/>
    </tableStyle>
    <tableStyle name="Slicer Style 1" pivot="0" table="0" count="1" xr9:uid="{25BABDA2-DB3D-41F6-98D0-3EE7CBB0176F}">
      <tableStyleElement type="wholeTable" dxfId="2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bgColor theme="8"/>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tint="-4.9989318521683403E-2"/>
              <bgColor theme="0" tint="-4.9989318521683403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_slicer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10/relationships/person" Target="persons/person.xml"/><Relationship Id="rId39" Type="http://schemas.openxmlformats.org/officeDocument/2006/relationships/customXml" Target="../customXml/item12.xml"/><Relationship Id="rId21" Type="http://schemas.microsoft.com/office/2022/10/relationships/richValueRel" Target="richData/richValueRel.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sheetMetadata" Target="metadata.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1.xml"/><Relationship Id="rId23" Type="http://schemas.microsoft.com/office/2017/06/relationships/rdRichValueStructure" Target="richData/rdrichvaluestructure.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[Call_Center_Dashboard.xlsx]Pivots!Weekly call count</c:name>
    <c:fmtId val="25"/>
  </c:pivotSource>
  <c:chart>
    <c:autoTitleDeleted val="1"/>
    <c:pivotFmts>
      <c:pivotFmt>
        <c:idx val="0"/>
        <c:spPr>
          <a:solidFill>
            <a:schemeClr val="accent5">
              <a:lumMod val="75000"/>
              <a:alpha val="73000"/>
            </a:schemeClr>
          </a:solidFill>
          <a:ln w="0">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73000"/>
            </a:schemeClr>
          </a:solidFill>
          <a:ln w="0">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alpha val="78000"/>
            </a:schemeClr>
          </a:solidFill>
          <a:ln w="0">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6399406303661"/>
          <c:y val="1.145463396330583E-2"/>
          <c:w val="0.83483585273765915"/>
          <c:h val="0.98805385757701336"/>
        </c:manualLayout>
      </c:layout>
      <c:barChart>
        <c:barDir val="bar"/>
        <c:grouping val="clustered"/>
        <c:varyColors val="0"/>
        <c:ser>
          <c:idx val="0"/>
          <c:order val="0"/>
          <c:tx>
            <c:strRef>
              <c:f>Pivots!$F$22</c:f>
              <c:strCache>
                <c:ptCount val="1"/>
                <c:pt idx="0">
                  <c:v>Total</c:v>
                </c:pt>
              </c:strCache>
            </c:strRef>
          </c:tx>
          <c:spPr>
            <a:solidFill>
              <a:schemeClr val="accent5">
                <a:lumMod val="75000"/>
                <a:alpha val="78000"/>
              </a:schemeClr>
            </a:solidFill>
            <a:ln w="0">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Pivots!$E$23:$E$30</c:f>
              <c:strCache>
                <c:ptCount val="7"/>
                <c:pt idx="0">
                  <c:v>Sunday</c:v>
                </c:pt>
                <c:pt idx="1">
                  <c:v>Monday</c:v>
                </c:pt>
                <c:pt idx="2">
                  <c:v>Tuesday</c:v>
                </c:pt>
                <c:pt idx="3">
                  <c:v>Wednesday</c:v>
                </c:pt>
                <c:pt idx="4">
                  <c:v>Thursday</c:v>
                </c:pt>
                <c:pt idx="5">
                  <c:v>Friday</c:v>
                </c:pt>
                <c:pt idx="6">
                  <c:v>Saturday</c:v>
                </c:pt>
              </c:strCache>
            </c:strRef>
          </c:cat>
          <c:val>
            <c:numRef>
              <c:f>Pivots!$F$23:$F$30</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3F4C-4267-B594-707A0C39CDE6}"/>
            </c:ext>
          </c:extLst>
        </c:ser>
        <c:dLbls>
          <c:showLegendKey val="0"/>
          <c:showVal val="0"/>
          <c:showCatName val="0"/>
          <c:showSerName val="0"/>
          <c:showPercent val="0"/>
          <c:showBubbleSize val="0"/>
        </c:dLbls>
        <c:gapWidth val="46"/>
        <c:overlap val="75"/>
        <c:axId val="1465288240"/>
        <c:axId val="1465292560"/>
      </c:barChart>
      <c:catAx>
        <c:axId val="14652882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465292560"/>
        <c:crosses val="autoZero"/>
        <c:auto val="1"/>
        <c:lblAlgn val="ctr"/>
        <c:lblOffset val="100"/>
        <c:noMultiLvlLbl val="0"/>
      </c:catAx>
      <c:valAx>
        <c:axId val="1465292560"/>
        <c:scaling>
          <c:orientation val="minMax"/>
        </c:scaling>
        <c:delete val="1"/>
        <c:axPos val="t"/>
        <c:numFmt formatCode="#,##0" sourceLinked="1"/>
        <c:majorTickMark val="none"/>
        <c:minorTickMark val="none"/>
        <c:tickLblPos val="nextTo"/>
        <c:crossAx val="146528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[Call_Center_Dashboard.xlsx]Pivots!Month_call_count</c:name>
    <c:fmtId val="18"/>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Call trend monthly and weekly</a:t>
            </a:r>
          </a:p>
        </c:rich>
      </c:tx>
      <c:layout>
        <c:manualLayout>
          <c:xMode val="edge"/>
          <c:yMode val="edge"/>
          <c:x val="2.3468039922341598E-2"/>
          <c:y val="3.6185359773172165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marker>
          <c:symbol val="circle"/>
          <c:size val="6"/>
          <c:spPr>
            <a:solidFill>
              <a:schemeClr val="bg1">
                <a:alpha val="90000"/>
              </a:schemeClr>
            </a:solidFill>
            <a:ln w="25400">
              <a:solidFill>
                <a:schemeClr val="tx1">
                  <a:alpha val="9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65000"/>
                  <a:lumOff val="35000"/>
                </a:schemeClr>
              </a:gs>
              <a:gs pos="100000">
                <a:schemeClr val="accent5">
                  <a:lumMod val="40000"/>
                  <a:lumOff val="60000"/>
                </a:schemeClr>
              </a:gs>
            </a:gsLst>
            <a:lin ang="5400000" scaled="0"/>
          </a:gradFill>
          <a:ln>
            <a:solidFill>
              <a:schemeClr val="accent5">
                <a:lumMod val="60000"/>
                <a:lumOff val="40000"/>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65000"/>
                  <a:lumOff val="35000"/>
                </a:schemeClr>
              </a:gs>
              <a:gs pos="100000">
                <a:schemeClr val="accent5">
                  <a:lumMod val="40000"/>
                  <a:lumOff val="60000"/>
                </a:schemeClr>
              </a:gs>
            </a:gsLst>
            <a:lin ang="5400000" scaled="0"/>
          </a:gradFill>
          <a:ln>
            <a:solidFill>
              <a:schemeClr val="accent5">
                <a:lumMod val="60000"/>
                <a:lumOff val="40000"/>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lumMod val="75000"/>
              </a:schemeClr>
            </a:solidFill>
            <a:round/>
          </a:ln>
          <a:effectLst/>
        </c:spPr>
        <c:marker>
          <c:symbol val="circle"/>
          <c:size val="6"/>
          <c:spPr>
            <a:solidFill>
              <a:schemeClr val="bg1">
                <a:alpha val="90000"/>
              </a:schemeClr>
            </a:solidFill>
            <a:ln w="25400">
              <a:solidFill>
                <a:schemeClr val="tx1">
                  <a:alpha val="9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5">
                  <a:lumMod val="65000"/>
                  <a:lumOff val="35000"/>
                </a:schemeClr>
              </a:gs>
              <a:gs pos="100000">
                <a:schemeClr val="accent5">
                  <a:lumMod val="40000"/>
                  <a:lumOff val="60000"/>
                </a:schemeClr>
              </a:gs>
            </a:gsLst>
            <a:lin ang="5400000" scaled="0"/>
          </a:gradFill>
          <a:ln>
            <a:solidFill>
              <a:schemeClr val="accent5">
                <a:lumMod val="60000"/>
                <a:lumOff val="40000"/>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circle"/>
          <c:size val="6"/>
          <c:spPr>
            <a:solidFill>
              <a:schemeClr val="bg1">
                <a:alpha val="90000"/>
              </a:schemeClr>
            </a:solidFill>
            <a:ln w="25400">
              <a:solidFill>
                <a:schemeClr val="tx1">
                  <a:alpha val="9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Pivots!$C$22</c:f>
              <c:strCache>
                <c:ptCount val="1"/>
                <c:pt idx="0">
                  <c:v>Call_Count2</c:v>
                </c:pt>
              </c:strCache>
            </c:strRef>
          </c:tx>
          <c:spPr>
            <a:gradFill>
              <a:gsLst>
                <a:gs pos="0">
                  <a:schemeClr val="accent5">
                    <a:lumMod val="65000"/>
                    <a:lumOff val="35000"/>
                  </a:schemeClr>
                </a:gs>
                <a:gs pos="100000">
                  <a:schemeClr val="accent5">
                    <a:lumMod val="40000"/>
                    <a:lumOff val="60000"/>
                  </a:schemeClr>
                </a:gs>
              </a:gsLst>
              <a:lin ang="5400000" scaled="0"/>
            </a:gradFill>
            <a:ln>
              <a:solidFill>
                <a:schemeClr val="accent5">
                  <a:lumMod val="60000"/>
                  <a:lumOff val="40000"/>
                  <a:alpha val="50000"/>
                </a:schemeClr>
              </a:solidFill>
            </a:ln>
            <a:effectLst/>
          </c:spP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Pivots!$C$23:$C$35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E397-4413-A408-A8FF7DCEA6F1}"/>
            </c:ext>
          </c:extLst>
        </c:ser>
        <c:dLbls>
          <c:showLegendKey val="0"/>
          <c:showVal val="0"/>
          <c:showCatName val="0"/>
          <c:showSerName val="0"/>
          <c:showPercent val="0"/>
          <c:showBubbleSize val="0"/>
        </c:dLbls>
        <c:axId val="1465310320"/>
        <c:axId val="1465330000"/>
      </c:areaChart>
      <c:lineChart>
        <c:grouping val="standard"/>
        <c:varyColors val="0"/>
        <c:ser>
          <c:idx val="0"/>
          <c:order val="0"/>
          <c:tx>
            <c:strRef>
              <c:f>Pivots!$B$22</c:f>
              <c:strCache>
                <c:ptCount val="1"/>
                <c:pt idx="0">
                  <c:v>Call_Count</c:v>
                </c:pt>
              </c:strCache>
            </c:strRef>
          </c:tx>
          <c:spPr>
            <a:ln w="28575" cap="rnd">
              <a:solidFill>
                <a:schemeClr val="accent5">
                  <a:lumMod val="75000"/>
                </a:schemeClr>
              </a:solidFill>
              <a:round/>
            </a:ln>
            <a:effectLst/>
          </c:spPr>
          <c:marker>
            <c:symbol val="circle"/>
            <c:size val="6"/>
            <c:spPr>
              <a:solidFill>
                <a:schemeClr val="bg1">
                  <a:alpha val="90000"/>
                </a:schemeClr>
              </a:solidFill>
              <a:ln w="25400">
                <a:solidFill>
                  <a:schemeClr val="tx1">
                    <a:alpha val="99000"/>
                  </a:schemeClr>
                </a:solidFill>
              </a:ln>
              <a:effectLst/>
            </c:spPr>
          </c:marke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E397-4413-A408-A8FF7DCEA6F1}"/>
            </c:ext>
          </c:extLst>
        </c:ser>
        <c:dLbls>
          <c:showLegendKey val="0"/>
          <c:showVal val="0"/>
          <c:showCatName val="0"/>
          <c:showSerName val="0"/>
          <c:showPercent val="0"/>
          <c:showBubbleSize val="0"/>
        </c:dLbls>
        <c:marker val="1"/>
        <c:smooth val="0"/>
        <c:axId val="1465310320"/>
        <c:axId val="1465330000"/>
      </c:lineChart>
      <c:catAx>
        <c:axId val="14653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30000"/>
        <c:crosses val="autoZero"/>
        <c:auto val="1"/>
        <c:lblAlgn val="ctr"/>
        <c:lblOffset val="100"/>
        <c:noMultiLvlLbl val="0"/>
      </c:catAx>
      <c:valAx>
        <c:axId val="1465330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1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sng" strike="noStrike" kern="1200" spc="0" baseline="0">
                <a:solidFill>
                  <a:schemeClr val="tx1"/>
                </a:solidFill>
                <a:latin typeface="+mn-lt"/>
                <a:ea typeface="+mn-ea"/>
                <a:cs typeface="+mn-cs"/>
              </a:defRPr>
            </a:pPr>
            <a:r>
              <a:rPr lang="en-IN" sz="1400" b="1" i="0" u="sng" strike="noStrike" kern="1200" spc="0" baseline="0">
                <a:solidFill>
                  <a:schemeClr val="tx1"/>
                </a:solidFill>
                <a:latin typeface="+mn-lt"/>
                <a:ea typeface="+mn-ea"/>
                <a:cs typeface="+mn-cs"/>
              </a:rPr>
              <a:t>Amount</a:t>
            </a:r>
          </a:p>
        </c:rich>
      </c:tx>
      <c:layout>
        <c:manualLayout>
          <c:xMode val="edge"/>
          <c:yMode val="edge"/>
          <c:x val="8.4177812187516632E-2"/>
          <c:y val="6.9238372451196489E-2"/>
        </c:manualLayout>
      </c:layout>
      <c:overlay val="0"/>
      <c:spPr>
        <a:noFill/>
        <a:ln>
          <a:noFill/>
        </a:ln>
        <a:effectLst/>
      </c:spPr>
      <c:txPr>
        <a:bodyPr rot="0" spcFirstLastPara="1" vertOverflow="ellipsis" vert="horz" wrap="square" anchor="ctr" anchorCtr="1"/>
        <a:lstStyle/>
        <a:p>
          <a:pPr algn="ctr" rtl="0">
            <a:defRPr lang="en-IN" sz="1400" b="1" i="0" u="sng"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0233814523184607E-2"/>
          <c:y val="0.17171296296296298"/>
          <c:w val="0.88643285214348211"/>
          <c:h val="0.77736111111111106"/>
        </c:manualLayout>
      </c:layout>
      <c:barChart>
        <c:barDir val="bar"/>
        <c:grouping val="clustered"/>
        <c:varyColors val="0"/>
        <c:ser>
          <c:idx val="0"/>
          <c:order val="0"/>
          <c:tx>
            <c:strRef>
              <c:f>Pivots!$G$45</c:f>
              <c:strCache>
                <c:ptCount val="1"/>
                <c:pt idx="0">
                  <c:v>Call_Count</c:v>
                </c:pt>
              </c:strCache>
            </c:strRef>
          </c:tx>
          <c:spPr>
            <a:solidFill>
              <a:schemeClr val="bg1">
                <a:lumMod val="65000"/>
                <a:alpha val="7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Pivots!$F$46:$F$50</c:f>
              <c:strCache>
                <c:ptCount val="5"/>
                <c:pt idx="0">
                  <c:v>R01</c:v>
                </c:pt>
                <c:pt idx="1">
                  <c:v>R02</c:v>
                </c:pt>
                <c:pt idx="2">
                  <c:v>R03</c:v>
                </c:pt>
                <c:pt idx="3">
                  <c:v>R04</c:v>
                </c:pt>
                <c:pt idx="4">
                  <c:v>R05</c:v>
                </c:pt>
              </c:strCache>
            </c:strRef>
          </c:cat>
          <c:val>
            <c:numRef>
              <c:f>Pivots!$H$46:$H$50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718-4E98-899C-E37B4C97E3A0}"/>
            </c:ext>
          </c:extLst>
        </c:ser>
        <c:ser>
          <c:idx val="1"/>
          <c:order val="1"/>
          <c:tx>
            <c:strRef>
              <c:f>Pivots!$J$45</c:f>
              <c:strCache>
                <c:ptCount val="1"/>
                <c:pt idx="0">
                  <c:v>Select rep amount</c:v>
                </c:pt>
              </c:strCache>
            </c:strRef>
          </c:tx>
          <c:spPr>
            <a:solidFill>
              <a:schemeClr val="accent5">
                <a:lumMod val="75000"/>
                <a:alpha val="79000"/>
              </a:schemeClr>
            </a:solidFill>
            <a:ln>
              <a:noFill/>
            </a:ln>
            <a:effectLst/>
          </c:spPr>
          <c:invertIfNegative val="0"/>
          <c:dLbls>
            <c:delete val="1"/>
          </c:dLbls>
          <c:val>
            <c:numRef>
              <c:f>Pivots!$J$46:$J$51</c:f>
              <c:numCache>
                <c:formatCode>General</c:formatCode>
                <c:ptCount val="6"/>
                <c:pt idx="0">
                  <c:v>0</c:v>
                </c:pt>
                <c:pt idx="1">
                  <c:v>0</c:v>
                </c:pt>
                <c:pt idx="2">
                  <c:v>0</c:v>
                </c:pt>
                <c:pt idx="3">
                  <c:v>0</c:v>
                </c:pt>
                <c:pt idx="4">
                  <c:v>20104</c:v>
                </c:pt>
                <c:pt idx="5">
                  <c:v>0</c:v>
                </c:pt>
              </c:numCache>
            </c:numRef>
          </c:val>
          <c:extLst>
            <c:ext xmlns:c16="http://schemas.microsoft.com/office/drawing/2014/chart" uri="{C3380CC4-5D6E-409C-BE32-E72D297353CC}">
              <c16:uniqueId val="{00000001-7718-4E98-899C-E37B4C97E3A0}"/>
            </c:ext>
          </c:extLst>
        </c:ser>
        <c:dLbls>
          <c:dLblPos val="outEnd"/>
          <c:showLegendKey val="0"/>
          <c:showVal val="1"/>
          <c:showCatName val="0"/>
          <c:showSerName val="0"/>
          <c:showPercent val="0"/>
          <c:showBubbleSize val="0"/>
        </c:dLbls>
        <c:gapWidth val="41"/>
        <c:overlap val="100"/>
        <c:axId val="2042626720"/>
        <c:axId val="2042635840"/>
      </c:barChart>
      <c:catAx>
        <c:axId val="2042626720"/>
        <c:scaling>
          <c:orientation val="maxMin"/>
        </c:scaling>
        <c:delete val="1"/>
        <c:axPos val="l"/>
        <c:numFmt formatCode="General" sourceLinked="1"/>
        <c:majorTickMark val="none"/>
        <c:minorTickMark val="none"/>
        <c:tickLblPos val="nextTo"/>
        <c:crossAx val="2042635840"/>
        <c:crosses val="autoZero"/>
        <c:auto val="1"/>
        <c:lblAlgn val="ctr"/>
        <c:lblOffset val="100"/>
        <c:noMultiLvlLbl val="0"/>
      </c:catAx>
      <c:valAx>
        <c:axId val="2042635840"/>
        <c:scaling>
          <c:orientation val="minMax"/>
        </c:scaling>
        <c:delete val="1"/>
        <c:axPos val="t"/>
        <c:numFmt formatCode="\$#,###.0,&quot;K&quot;" sourceLinked="1"/>
        <c:majorTickMark val="none"/>
        <c:minorTickMark val="none"/>
        <c:tickLblPos val="nextTo"/>
        <c:crossAx val="204262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sng" strike="noStrike" kern="1200" spc="0" baseline="0">
                <a:solidFill>
                  <a:schemeClr val="tx1"/>
                </a:solidFill>
                <a:latin typeface="+mn-lt"/>
                <a:ea typeface="+mn-ea"/>
                <a:cs typeface="+mn-cs"/>
              </a:defRPr>
            </a:pPr>
            <a:r>
              <a:rPr lang="en-IN" sz="1400" b="1" i="0" u="sng" strike="noStrike" kern="1200" spc="0" baseline="0">
                <a:solidFill>
                  <a:schemeClr val="tx1"/>
                </a:solidFill>
                <a:latin typeface="+mn-lt"/>
                <a:ea typeface="+mn-ea"/>
                <a:cs typeface="+mn-cs"/>
              </a:rPr>
              <a:t>Calls</a:t>
            </a:r>
          </a:p>
        </c:rich>
      </c:tx>
      <c:layout>
        <c:manualLayout>
          <c:xMode val="edge"/>
          <c:yMode val="edge"/>
          <c:x val="8.5526373045120438E-2"/>
          <c:y val="2.4822698500963102E-2"/>
        </c:manualLayout>
      </c:layout>
      <c:overlay val="0"/>
      <c:spPr>
        <a:noFill/>
        <a:ln>
          <a:noFill/>
        </a:ln>
        <a:effectLst/>
      </c:spPr>
      <c:txPr>
        <a:bodyPr rot="0" spcFirstLastPara="1" vertOverflow="ellipsis" vert="horz" wrap="square" anchor="ctr" anchorCtr="1"/>
        <a:lstStyle/>
        <a:p>
          <a:pPr algn="ctr" rtl="0">
            <a:defRPr lang="en-IN" sz="1400" b="1" i="0" u="sng"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0233814523184607E-2"/>
          <c:y val="0.17171296296296298"/>
          <c:w val="0.88643285214348211"/>
          <c:h val="0.77736111111111106"/>
        </c:manualLayout>
      </c:layout>
      <c:barChart>
        <c:barDir val="bar"/>
        <c:grouping val="clustered"/>
        <c:varyColors val="0"/>
        <c:ser>
          <c:idx val="0"/>
          <c:order val="0"/>
          <c:tx>
            <c:strRef>
              <c:f>Pivots!$G$45</c:f>
              <c:strCache>
                <c:ptCount val="1"/>
                <c:pt idx="0">
                  <c:v>Call_Count</c:v>
                </c:pt>
              </c:strCache>
            </c:strRef>
          </c:tx>
          <c:spPr>
            <a:solidFill>
              <a:schemeClr val="bg1">
                <a:lumMod val="65000"/>
                <a:alpha val="8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Pivots!$F$46:$F$50</c:f>
              <c:strCache>
                <c:ptCount val="5"/>
                <c:pt idx="0">
                  <c:v>R01</c:v>
                </c:pt>
                <c:pt idx="1">
                  <c:v>R02</c:v>
                </c:pt>
                <c:pt idx="2">
                  <c:v>R03</c:v>
                </c:pt>
                <c:pt idx="3">
                  <c:v>R04</c:v>
                </c:pt>
                <c:pt idx="4">
                  <c:v>R05</c:v>
                </c:pt>
              </c:strCache>
            </c:strRef>
          </c:cat>
          <c:val>
            <c:numRef>
              <c:f>Pivots!$G$46:$G$50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AEC-4CA6-B92F-993AB50D0A9E}"/>
            </c:ext>
          </c:extLst>
        </c:ser>
        <c:ser>
          <c:idx val="1"/>
          <c:order val="1"/>
          <c:tx>
            <c:strRef>
              <c:f>Pivots!$I$45</c:f>
              <c:strCache>
                <c:ptCount val="1"/>
                <c:pt idx="0">
                  <c:v>Selected rep call count</c:v>
                </c:pt>
              </c:strCache>
            </c:strRef>
          </c:tx>
          <c:spPr>
            <a:solidFill>
              <a:schemeClr val="accent5">
                <a:lumMod val="75000"/>
                <a:alpha val="79000"/>
              </a:schemeClr>
            </a:solidFill>
            <a:ln>
              <a:noFill/>
            </a:ln>
            <a:effectLst/>
          </c:spPr>
          <c:invertIfNegative val="0"/>
          <c:dLbls>
            <c:delete val="1"/>
          </c:dLbls>
          <c:val>
            <c:numRef>
              <c:f>Pivots!$I$46:$I$50</c:f>
              <c:numCache>
                <c:formatCode>General</c:formatCode>
                <c:ptCount val="5"/>
                <c:pt idx="0">
                  <c:v>0</c:v>
                </c:pt>
                <c:pt idx="1">
                  <c:v>0</c:v>
                </c:pt>
                <c:pt idx="2">
                  <c:v>0</c:v>
                </c:pt>
                <c:pt idx="3">
                  <c:v>0</c:v>
                </c:pt>
                <c:pt idx="4">
                  <c:v>200</c:v>
                </c:pt>
              </c:numCache>
            </c:numRef>
          </c:val>
          <c:extLst>
            <c:ext xmlns:c16="http://schemas.microsoft.com/office/drawing/2014/chart" uri="{C3380CC4-5D6E-409C-BE32-E72D297353CC}">
              <c16:uniqueId val="{00000001-8AEC-4CA6-B92F-993AB50D0A9E}"/>
            </c:ext>
          </c:extLst>
        </c:ser>
        <c:dLbls>
          <c:dLblPos val="outEnd"/>
          <c:showLegendKey val="0"/>
          <c:showVal val="1"/>
          <c:showCatName val="0"/>
          <c:showSerName val="0"/>
          <c:showPercent val="0"/>
          <c:showBubbleSize val="0"/>
        </c:dLbls>
        <c:gapWidth val="41"/>
        <c:overlap val="100"/>
        <c:axId val="2042626720"/>
        <c:axId val="2042635840"/>
      </c:barChart>
      <c:catAx>
        <c:axId val="2042626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35840"/>
        <c:crosses val="autoZero"/>
        <c:auto val="1"/>
        <c:lblAlgn val="ctr"/>
        <c:lblOffset val="100"/>
        <c:noMultiLvlLbl val="0"/>
      </c:catAx>
      <c:valAx>
        <c:axId val="2042635840"/>
        <c:scaling>
          <c:orientation val="minMax"/>
        </c:scaling>
        <c:delete val="1"/>
        <c:axPos val="t"/>
        <c:numFmt formatCode="General" sourceLinked="1"/>
        <c:majorTickMark val="none"/>
        <c:minorTickMark val="none"/>
        <c:tickLblPos val="nextTo"/>
        <c:crossAx val="204262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[Call_Center_Dashboard.xlsx]Pivots!Male Vs Female callers</c:name>
    <c:fmtId val="8"/>
  </c:pivotSource>
  <c:chart>
    <c:title>
      <c:tx>
        <c:rich>
          <a:bodyPr rot="0" spcFirstLastPara="1" vertOverflow="ellipsis" vert="horz" wrap="square" anchor="ctr" anchorCtr="1"/>
          <a:lstStyle/>
          <a:p>
            <a:pPr algn="ctr" rtl="0">
              <a:defRPr lang="en-IN" sz="1400" b="1" i="0" u="sng" strike="noStrike" kern="1200" spc="0" baseline="0">
                <a:solidFill>
                  <a:schemeClr val="tx1"/>
                </a:solidFill>
                <a:latin typeface="+mn-lt"/>
                <a:ea typeface="+mn-ea"/>
                <a:cs typeface="+mn-cs"/>
              </a:defRPr>
            </a:pPr>
            <a:r>
              <a:rPr lang="en-IN" sz="1400" b="1" i="0" u="sng" strike="noStrike" kern="1200" spc="0" baseline="0">
                <a:solidFill>
                  <a:schemeClr val="tx1"/>
                </a:solidFill>
                <a:latin typeface="+mn-lt"/>
                <a:ea typeface="+mn-ea"/>
                <a:cs typeface="+mn-cs"/>
              </a:rPr>
              <a:t>Female Vs Male Callers</a:t>
            </a:r>
          </a:p>
        </c:rich>
      </c:tx>
      <c:layout>
        <c:manualLayout>
          <c:xMode val="edge"/>
          <c:yMode val="edge"/>
          <c:x val="0.11118441315422467"/>
          <c:y val="3.181819700224147E-2"/>
        </c:manualLayout>
      </c:layout>
      <c:overlay val="0"/>
      <c:spPr>
        <a:noFill/>
        <a:ln>
          <a:noFill/>
        </a:ln>
        <a:effectLst/>
      </c:spPr>
      <c:txPr>
        <a:bodyPr rot="0" spcFirstLastPara="1" vertOverflow="ellipsis" vert="horz" wrap="square" anchor="ctr" anchorCtr="1"/>
        <a:lstStyle/>
        <a:p>
          <a:pPr algn="ctr" rtl="0">
            <a:defRPr lang="en-IN"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5">
              <a:lumMod val="7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5">
              <a:lumMod val="75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bg1">
                <a:lumMod val="9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Pivots!$B$69:$B$70</c:f>
              <c:strCache>
                <c:ptCount val="1"/>
                <c:pt idx="0">
                  <c:v>Female</c:v>
                </c:pt>
              </c:strCache>
            </c:strRef>
          </c:tx>
          <c:spPr>
            <a:solidFill>
              <a:schemeClr val="accent5">
                <a:lumMod val="75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Pivots!$A$71:$A$74</c:f>
              <c:strCache>
                <c:ptCount val="3"/>
                <c:pt idx="0">
                  <c:v>Cincinnati</c:v>
                </c:pt>
                <c:pt idx="1">
                  <c:v>Cleveland</c:v>
                </c:pt>
                <c:pt idx="2">
                  <c:v>Columbus</c:v>
                </c:pt>
              </c:strCache>
            </c:strRef>
          </c:cat>
          <c:val>
            <c:numRef>
              <c:f>Pivots!$B$71:$B$74</c:f>
              <c:numCache>
                <c:formatCode>#,##0</c:formatCode>
                <c:ptCount val="3"/>
                <c:pt idx="0">
                  <c:v>144</c:v>
                </c:pt>
                <c:pt idx="1">
                  <c:v>326</c:v>
                </c:pt>
                <c:pt idx="2">
                  <c:v>129</c:v>
                </c:pt>
              </c:numCache>
            </c:numRef>
          </c:val>
          <c:extLst>
            <c:ext xmlns:c16="http://schemas.microsoft.com/office/drawing/2014/chart" uri="{C3380CC4-5D6E-409C-BE32-E72D297353CC}">
              <c16:uniqueId val="{00000000-A611-4B55-805D-B9104E5F2904}"/>
            </c:ext>
          </c:extLst>
        </c:ser>
        <c:ser>
          <c:idx val="1"/>
          <c:order val="1"/>
          <c:tx>
            <c:strRef>
              <c:f>Pivots!$C$69:$C$70</c:f>
              <c:strCache>
                <c:ptCount val="1"/>
                <c:pt idx="0">
                  <c:v>Male</c:v>
                </c:pt>
              </c:strCache>
            </c:strRef>
          </c:tx>
          <c:spPr>
            <a:solidFill>
              <a:schemeClr val="accent4"/>
            </a:solidFill>
            <a:ln>
              <a:noFill/>
            </a:ln>
            <a:effectLst/>
          </c:spPr>
          <c:invertIfNegative val="0"/>
          <c:dLbls>
            <c:spPr>
              <a:solidFill>
                <a:schemeClr val="bg1">
                  <a:lumMod val="9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Pivots!$A$71:$A$74</c:f>
              <c:strCache>
                <c:ptCount val="3"/>
                <c:pt idx="0">
                  <c:v>Cincinnati</c:v>
                </c:pt>
                <c:pt idx="1">
                  <c:v>Cleveland</c:v>
                </c:pt>
                <c:pt idx="2">
                  <c:v>Columbus</c:v>
                </c:pt>
              </c:strCache>
            </c:strRef>
          </c:cat>
          <c:val>
            <c:numRef>
              <c:f>Pivots!$C$71:$C$74</c:f>
              <c:numCache>
                <c:formatCode>#,##0</c:formatCode>
                <c:ptCount val="3"/>
                <c:pt idx="0">
                  <c:v>132</c:v>
                </c:pt>
                <c:pt idx="1">
                  <c:v>63</c:v>
                </c:pt>
                <c:pt idx="2">
                  <c:v>206</c:v>
                </c:pt>
              </c:numCache>
            </c:numRef>
          </c:val>
          <c:extLst>
            <c:ext xmlns:c16="http://schemas.microsoft.com/office/drawing/2014/chart" uri="{C3380CC4-5D6E-409C-BE32-E72D297353CC}">
              <c16:uniqueId val="{00000001-A611-4B55-805D-B9104E5F2904}"/>
            </c:ext>
          </c:extLst>
        </c:ser>
        <c:dLbls>
          <c:dLblPos val="ctr"/>
          <c:showLegendKey val="0"/>
          <c:showVal val="1"/>
          <c:showCatName val="0"/>
          <c:showSerName val="0"/>
          <c:showPercent val="0"/>
          <c:showBubbleSize val="0"/>
        </c:dLbls>
        <c:gapWidth val="86"/>
        <c:overlap val="100"/>
        <c:axId val="1612274144"/>
        <c:axId val="1612274624"/>
      </c:barChart>
      <c:catAx>
        <c:axId val="161227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274624"/>
        <c:crosses val="autoZero"/>
        <c:auto val="1"/>
        <c:lblAlgn val="ctr"/>
        <c:lblOffset val="100"/>
        <c:noMultiLvlLbl val="0"/>
      </c:catAx>
      <c:valAx>
        <c:axId val="1612274624"/>
        <c:scaling>
          <c:orientation val="minMax"/>
        </c:scaling>
        <c:delete val="1"/>
        <c:axPos val="l"/>
        <c:numFmt formatCode="0%" sourceLinked="1"/>
        <c:majorTickMark val="out"/>
        <c:minorTickMark val="none"/>
        <c:tickLblPos val="nextTo"/>
        <c:crossAx val="161227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[Call_Center_Dashboard.xlsx]Pivots!Satisfaction Rating count</c:name>
    <c:fmtId val="9"/>
  </c:pivotSource>
  <c:chart>
    <c:title>
      <c:tx>
        <c:rich>
          <a:bodyPr rot="0" spcFirstLastPara="1" vertOverflow="ellipsis" vert="horz" wrap="square" anchor="ctr" anchorCtr="1"/>
          <a:lstStyle/>
          <a:p>
            <a:pPr algn="ctr" rtl="0">
              <a:defRPr lang="en-US" sz="1400" b="1" i="0" u="sng" strike="noStrike" kern="1200" spc="0" baseline="0">
                <a:solidFill>
                  <a:schemeClr val="tx1"/>
                </a:solidFill>
                <a:latin typeface="+mn-lt"/>
                <a:ea typeface="+mn-ea"/>
                <a:cs typeface="+mn-cs"/>
              </a:defRPr>
            </a:pPr>
            <a:r>
              <a:rPr lang="en-US" sz="1400" b="1" i="0" u="sng" strike="noStrike" kern="1200" spc="0" baseline="0">
                <a:solidFill>
                  <a:schemeClr val="tx1"/>
                </a:solidFill>
                <a:latin typeface="+mn-lt"/>
                <a:ea typeface="+mn-ea"/>
                <a:cs typeface="+mn-cs"/>
              </a:rPr>
              <a:t>Rating</a:t>
            </a:r>
          </a:p>
        </c:rich>
      </c:tx>
      <c:layout>
        <c:manualLayout>
          <c:xMode val="edge"/>
          <c:yMode val="edge"/>
          <c:x val="4.9559259009598636E-2"/>
          <c:y val="3.2710292409409231E-2"/>
        </c:manualLayout>
      </c:layout>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Pivots!$B$83</c:f>
              <c:strCache>
                <c:ptCount val="1"/>
                <c:pt idx="0">
                  <c:v>Total</c:v>
                </c:pt>
              </c:strCache>
            </c:strRef>
          </c:tx>
          <c:spPr>
            <a:solidFill>
              <a:schemeClr val="accent5">
                <a:lumMod val="75000"/>
                <a:alpha val="7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Pivots!$A$84:$A$90</c:f>
              <c:strCache>
                <c:ptCount val="6"/>
                <c:pt idx="0">
                  <c:v>0</c:v>
                </c:pt>
                <c:pt idx="1">
                  <c:v>1</c:v>
                </c:pt>
                <c:pt idx="2">
                  <c:v>2</c:v>
                </c:pt>
                <c:pt idx="3">
                  <c:v>3</c:v>
                </c:pt>
                <c:pt idx="4">
                  <c:v>4</c:v>
                </c:pt>
                <c:pt idx="5">
                  <c:v>5</c:v>
                </c:pt>
              </c:strCache>
            </c:strRef>
          </c:cat>
          <c:val>
            <c:numRef>
              <c:f>Pivots!$B$84:$B$90</c:f>
              <c:numCache>
                <c:formatCode>#,##0</c:formatCode>
                <c:ptCount val="6"/>
                <c:pt idx="2">
                  <c:v>10</c:v>
                </c:pt>
                <c:pt idx="3">
                  <c:v>44</c:v>
                </c:pt>
                <c:pt idx="4">
                  <c:v>95</c:v>
                </c:pt>
                <c:pt idx="5">
                  <c:v>51</c:v>
                </c:pt>
              </c:numCache>
            </c:numRef>
          </c:val>
          <c:extLst>
            <c:ext xmlns:c16="http://schemas.microsoft.com/office/drawing/2014/chart" uri="{C3380CC4-5D6E-409C-BE32-E72D297353CC}">
              <c16:uniqueId val="{00000000-131E-4EAB-9018-0655CF4B9B93}"/>
            </c:ext>
          </c:extLst>
        </c:ser>
        <c:dLbls>
          <c:dLblPos val="outEnd"/>
          <c:showLegendKey val="0"/>
          <c:showVal val="1"/>
          <c:showCatName val="0"/>
          <c:showSerName val="0"/>
          <c:showPercent val="0"/>
          <c:showBubbleSize val="0"/>
        </c:dLbls>
        <c:gapWidth val="69"/>
        <c:overlap val="-27"/>
        <c:axId val="1941667776"/>
        <c:axId val="1940202176"/>
      </c:barChart>
      <c:catAx>
        <c:axId val="194166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202176"/>
        <c:crosses val="autoZero"/>
        <c:auto val="1"/>
        <c:lblAlgn val="ctr"/>
        <c:lblOffset val="100"/>
        <c:noMultiLvlLbl val="0"/>
      </c:catAx>
      <c:valAx>
        <c:axId val="19402021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6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chart" Target="../charts/chart3.xml"/><Relationship Id="rId3" Type="http://schemas.openxmlformats.org/officeDocument/2006/relationships/image" Target="../media/image19.svg"/><Relationship Id="rId7" Type="http://schemas.openxmlformats.org/officeDocument/2006/relationships/image" Target="../media/image23.svg"/><Relationship Id="rId12" Type="http://schemas.openxmlformats.org/officeDocument/2006/relationships/chart" Target="../charts/chart2.xml"/><Relationship Id="rId2" Type="http://schemas.openxmlformats.org/officeDocument/2006/relationships/image" Target="../media/image18.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22.png"/><Relationship Id="rId11" Type="http://schemas.openxmlformats.org/officeDocument/2006/relationships/image" Target="../media/image27.svg"/><Relationship Id="rId5" Type="http://schemas.openxmlformats.org/officeDocument/2006/relationships/image" Target="../media/image21.svg"/><Relationship Id="rId15" Type="http://schemas.openxmlformats.org/officeDocument/2006/relationships/chart" Target="../charts/chart5.xml"/><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629478</xdr:colOff>
      <xdr:row>6</xdr:row>
      <xdr:rowOff>239457</xdr:rowOff>
    </xdr:from>
    <xdr:to>
      <xdr:col>1</xdr:col>
      <xdr:colOff>369893</xdr:colOff>
      <xdr:row>8</xdr:row>
      <xdr:rowOff>135586</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9478" y="1882727"/>
          <a:ext cx="409650" cy="399711"/>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609600</xdr:colOff>
      <xdr:row>52</xdr:row>
      <xdr:rowOff>30480</xdr:rowOff>
    </xdr:from>
    <xdr:to>
      <xdr:col>6</xdr:col>
      <xdr:colOff>790303</xdr:colOff>
      <xdr:row>64</xdr:row>
      <xdr:rowOff>23949</xdr:rowOff>
    </xdr:to>
    <mc:AlternateContent xmlns:mc="http://schemas.openxmlformats.org/markup-compatibility/2006" xmlns:a14="http://schemas.microsoft.com/office/drawing/2010/main">
      <mc:Choice Requires="a14">
        <xdr:graphicFrame macro="">
          <xdr:nvGraphicFramePr>
            <xdr:cNvPr id="5" name="Representative 1">
              <a:extLst>
                <a:ext uri="{FF2B5EF4-FFF2-40B4-BE49-F238E27FC236}">
                  <a16:creationId xmlns:a16="http://schemas.microsoft.com/office/drawing/2014/main" id="{0657D532-D55B-46D0-BA35-604ED4A948F6}"/>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4152900" y="9540240"/>
              <a:ext cx="1864723" cy="2188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544285</xdr:colOff>
      <xdr:row>19</xdr:row>
      <xdr:rowOff>54427</xdr:rowOff>
    </xdr:from>
    <xdr:to>
      <xdr:col>16</xdr:col>
      <xdr:colOff>544286</xdr:colOff>
      <xdr:row>40</xdr:row>
      <xdr:rowOff>76200</xdr:rowOff>
    </xdr:to>
    <xdr:sp macro="" textlink="">
      <xdr:nvSpPr>
        <xdr:cNvPr id="48" name="Rectangle 47">
          <a:extLst>
            <a:ext uri="{FF2B5EF4-FFF2-40B4-BE49-F238E27FC236}">
              <a16:creationId xmlns:a16="http://schemas.microsoft.com/office/drawing/2014/main" id="{1170B03C-5D5E-2D3F-D25F-80E5E93DA37A}"/>
            </a:ext>
          </a:extLst>
        </xdr:cNvPr>
        <xdr:cNvSpPr/>
      </xdr:nvSpPr>
      <xdr:spPr>
        <a:xfrm>
          <a:off x="2351314" y="3570513"/>
          <a:ext cx="8773886" cy="390797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620486</xdr:colOff>
      <xdr:row>5</xdr:row>
      <xdr:rowOff>138250</xdr:rowOff>
    </xdr:from>
    <xdr:to>
      <xdr:col>14</xdr:col>
      <xdr:colOff>653142</xdr:colOff>
      <xdr:row>18</xdr:row>
      <xdr:rowOff>130629</xdr:rowOff>
    </xdr:to>
    <xdr:graphicFrame macro="">
      <xdr:nvGraphicFramePr>
        <xdr:cNvPr id="45" name="Chart 44">
          <a:extLst>
            <a:ext uri="{FF2B5EF4-FFF2-40B4-BE49-F238E27FC236}">
              <a16:creationId xmlns:a16="http://schemas.microsoft.com/office/drawing/2014/main" id="{7750A1FF-3413-4E79-93F6-11AEF7E11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266700</xdr:colOff>
      <xdr:row>4</xdr:row>
      <xdr:rowOff>7620</xdr:rowOff>
    </xdr:from>
    <xdr:to>
      <xdr:col>3</xdr:col>
      <xdr:colOff>251460</xdr:colOff>
      <xdr:row>8</xdr:row>
      <xdr:rowOff>38100</xdr:rowOff>
    </xdr:to>
    <xdr:sp macro="" textlink="Pivots!$A$6">
      <xdr:nvSpPr>
        <xdr:cNvPr id="2" name="Rectangle 1">
          <a:extLst>
            <a:ext uri="{FF2B5EF4-FFF2-40B4-BE49-F238E27FC236}">
              <a16:creationId xmlns:a16="http://schemas.microsoft.com/office/drawing/2014/main" id="{8EA3A622-91A3-DCC0-FCDE-0A815BE1CDB2}"/>
            </a:ext>
          </a:extLst>
        </xdr:cNvPr>
        <xdr:cNvSpPr/>
      </xdr:nvSpPr>
      <xdr:spPr>
        <a:xfrm>
          <a:off x="723900" y="739140"/>
          <a:ext cx="1325880" cy="7620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fld id="{C24B9EA6-60F3-41DB-BF02-4ECBBD753F84}" type="TxLink">
            <a:rPr lang="en-US" sz="1600" b="0" i="0" u="none" strike="noStrike">
              <a:solidFill>
                <a:schemeClr val="bg1"/>
              </a:solidFill>
              <a:latin typeface="+mj-lt"/>
            </a:rPr>
            <a:pPr algn="ctr"/>
            <a:t>1,000</a:t>
          </a:fld>
          <a:endParaRPr lang="en-IN" sz="1600" b="0">
            <a:solidFill>
              <a:schemeClr val="bg1"/>
            </a:solidFill>
            <a:latin typeface="+mj-lt"/>
          </a:endParaRPr>
        </a:p>
      </xdr:txBody>
    </xdr:sp>
    <xdr:clientData/>
  </xdr:twoCellAnchor>
  <xdr:twoCellAnchor>
    <xdr:from>
      <xdr:col>1</xdr:col>
      <xdr:colOff>396240</xdr:colOff>
      <xdr:row>4</xdr:row>
      <xdr:rowOff>22860</xdr:rowOff>
    </xdr:from>
    <xdr:to>
      <xdr:col>3</xdr:col>
      <xdr:colOff>152400</xdr:colOff>
      <xdr:row>5</xdr:row>
      <xdr:rowOff>91440</xdr:rowOff>
    </xdr:to>
    <xdr:sp macro="" textlink="">
      <xdr:nvSpPr>
        <xdr:cNvPr id="3" name="TextBox 2">
          <a:extLst>
            <a:ext uri="{FF2B5EF4-FFF2-40B4-BE49-F238E27FC236}">
              <a16:creationId xmlns:a16="http://schemas.microsoft.com/office/drawing/2014/main" id="{4224115C-FF98-4A86-2B15-AEDA3B1B70DB}"/>
            </a:ext>
          </a:extLst>
        </xdr:cNvPr>
        <xdr:cNvSpPr txBox="1"/>
      </xdr:nvSpPr>
      <xdr:spPr>
        <a:xfrm>
          <a:off x="853440" y="75438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Call</a:t>
          </a:r>
          <a:r>
            <a:rPr lang="en-IN" sz="1100" baseline="0">
              <a:solidFill>
                <a:schemeClr val="bg1"/>
              </a:solidFill>
            </a:rPr>
            <a:t>s</a:t>
          </a:r>
          <a:endParaRPr lang="en-IN" sz="1100">
            <a:solidFill>
              <a:schemeClr val="bg1"/>
            </a:solidFill>
          </a:endParaRPr>
        </a:p>
        <a:p>
          <a:endParaRPr lang="en-IN" sz="1100"/>
        </a:p>
      </xdr:txBody>
    </xdr:sp>
    <xdr:clientData/>
  </xdr:twoCellAnchor>
  <xdr:twoCellAnchor editAs="oneCell">
    <xdr:from>
      <xdr:col>1</xdr:col>
      <xdr:colOff>437161</xdr:colOff>
      <xdr:row>4</xdr:row>
      <xdr:rowOff>54952</xdr:rowOff>
    </xdr:from>
    <xdr:to>
      <xdr:col>1</xdr:col>
      <xdr:colOff>641577</xdr:colOff>
      <xdr:row>5</xdr:row>
      <xdr:rowOff>25741</xdr:rowOff>
    </xdr:to>
    <xdr:pic>
      <xdr:nvPicPr>
        <xdr:cNvPr id="5" name="Graphic 4" descr="Receiver with solid fill">
          <a:extLst>
            <a:ext uri="{FF2B5EF4-FFF2-40B4-BE49-F238E27FC236}">
              <a16:creationId xmlns:a16="http://schemas.microsoft.com/office/drawing/2014/main" id="{A910819F-5AA4-4568-B769-52B458559F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151549">
          <a:off x="894361" y="786472"/>
          <a:ext cx="204416" cy="153669"/>
        </a:xfrm>
        <a:prstGeom prst="rect">
          <a:avLst/>
        </a:prstGeom>
      </xdr:spPr>
    </xdr:pic>
    <xdr:clientData/>
  </xdr:twoCellAnchor>
  <xdr:twoCellAnchor>
    <xdr:from>
      <xdr:col>1</xdr:col>
      <xdr:colOff>594360</xdr:colOff>
      <xdr:row>7</xdr:row>
      <xdr:rowOff>0</xdr:rowOff>
    </xdr:from>
    <xdr:to>
      <xdr:col>2</xdr:col>
      <xdr:colOff>586740</xdr:colOff>
      <xdr:row>8</xdr:row>
      <xdr:rowOff>15240</xdr:rowOff>
    </xdr:to>
    <xdr:sp macro="" textlink="Pivots!A13">
      <xdr:nvSpPr>
        <xdr:cNvPr id="10" name="TextBox 9">
          <a:extLst>
            <a:ext uri="{FF2B5EF4-FFF2-40B4-BE49-F238E27FC236}">
              <a16:creationId xmlns:a16="http://schemas.microsoft.com/office/drawing/2014/main" id="{E4620859-3C28-3533-4CB1-93AB52ADB6B1}"/>
            </a:ext>
          </a:extLst>
        </xdr:cNvPr>
        <xdr:cNvSpPr txBox="1"/>
      </xdr:nvSpPr>
      <xdr:spPr>
        <a:xfrm>
          <a:off x="1051560" y="1280160"/>
          <a:ext cx="6629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DC9315-3740-455F-A5B5-385D4D611F20}" type="TxLink">
            <a:rPr lang="en-US" sz="1100" b="0" i="0" u="none" strike="noStrike">
              <a:solidFill>
                <a:sysClr val="windowText" lastClr="000000"/>
              </a:solidFill>
              <a:latin typeface="Aptos"/>
            </a:rPr>
            <a:pPr algn="ctr"/>
            <a:t>200</a:t>
          </a:fld>
          <a:endParaRPr lang="en-IN" sz="1100">
            <a:solidFill>
              <a:sysClr val="windowText" lastClr="000000"/>
            </a:solidFill>
          </a:endParaRPr>
        </a:p>
      </xdr:txBody>
    </xdr:sp>
    <xdr:clientData/>
  </xdr:twoCellAnchor>
  <xdr:twoCellAnchor>
    <xdr:from>
      <xdr:col>1</xdr:col>
      <xdr:colOff>236220</xdr:colOff>
      <xdr:row>11</xdr:row>
      <xdr:rowOff>175260</xdr:rowOff>
    </xdr:from>
    <xdr:to>
      <xdr:col>3</xdr:col>
      <xdr:colOff>251460</xdr:colOff>
      <xdr:row>16</xdr:row>
      <xdr:rowOff>76200</xdr:rowOff>
    </xdr:to>
    <xdr:sp macro="" textlink="Pivots!$B$6">
      <xdr:nvSpPr>
        <xdr:cNvPr id="21" name="Rectangle 20">
          <a:extLst>
            <a:ext uri="{FF2B5EF4-FFF2-40B4-BE49-F238E27FC236}">
              <a16:creationId xmlns:a16="http://schemas.microsoft.com/office/drawing/2014/main" id="{30DBC2AA-05F0-45A5-962A-BCA50719CC4F}"/>
            </a:ext>
          </a:extLst>
        </xdr:cNvPr>
        <xdr:cNvSpPr/>
      </xdr:nvSpPr>
      <xdr:spPr>
        <a:xfrm>
          <a:off x="693420" y="2186940"/>
          <a:ext cx="1356360" cy="81534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indent="0" algn="ctr"/>
          <a:fld id="{3BB611A8-F232-4234-9508-EB3BAFBDC050}" type="TxLink">
            <a:rPr lang="en-US" sz="1600" b="0" i="0" u="none" strike="noStrike">
              <a:solidFill>
                <a:schemeClr val="bg1"/>
              </a:solidFill>
              <a:latin typeface="+mj-lt"/>
              <a:ea typeface="+mn-ea"/>
              <a:cs typeface="+mn-cs"/>
            </a:rPr>
            <a:pPr marL="0" indent="0" algn="ctr"/>
            <a:t>$96,623 </a:t>
          </a:fld>
          <a:endParaRPr lang="en-IN" sz="1600" b="0" i="0" u="none" strike="noStrike">
            <a:solidFill>
              <a:schemeClr val="bg1"/>
            </a:solidFill>
            <a:latin typeface="+mj-lt"/>
            <a:ea typeface="+mn-ea"/>
            <a:cs typeface="+mn-cs"/>
          </a:endParaRPr>
        </a:p>
      </xdr:txBody>
    </xdr:sp>
    <xdr:clientData/>
  </xdr:twoCellAnchor>
  <xdr:twoCellAnchor>
    <xdr:from>
      <xdr:col>1</xdr:col>
      <xdr:colOff>411480</xdr:colOff>
      <xdr:row>12</xdr:row>
      <xdr:rowOff>0</xdr:rowOff>
    </xdr:from>
    <xdr:to>
      <xdr:col>3</xdr:col>
      <xdr:colOff>167640</xdr:colOff>
      <xdr:row>13</xdr:row>
      <xdr:rowOff>68580</xdr:rowOff>
    </xdr:to>
    <xdr:sp macro="" textlink="">
      <xdr:nvSpPr>
        <xdr:cNvPr id="22" name="TextBox 21">
          <a:extLst>
            <a:ext uri="{FF2B5EF4-FFF2-40B4-BE49-F238E27FC236}">
              <a16:creationId xmlns:a16="http://schemas.microsoft.com/office/drawing/2014/main" id="{2829EB9E-FB2F-49B3-9ABE-432F570E8355}"/>
            </a:ext>
          </a:extLst>
        </xdr:cNvPr>
        <xdr:cNvSpPr txBox="1"/>
      </xdr:nvSpPr>
      <xdr:spPr>
        <a:xfrm>
          <a:off x="868680" y="219456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Amount</a:t>
          </a:r>
        </a:p>
        <a:p>
          <a:pPr algn="ctr"/>
          <a:endParaRPr lang="en-IN" sz="1100">
            <a:solidFill>
              <a:schemeClr val="bg1"/>
            </a:solidFill>
          </a:endParaRPr>
        </a:p>
        <a:p>
          <a:endParaRPr lang="en-IN" sz="1100"/>
        </a:p>
      </xdr:txBody>
    </xdr:sp>
    <xdr:clientData/>
  </xdr:twoCellAnchor>
  <xdr:twoCellAnchor editAs="oneCell">
    <xdr:from>
      <xdr:col>1</xdr:col>
      <xdr:colOff>346868</xdr:colOff>
      <xdr:row>12</xdr:row>
      <xdr:rowOff>12445</xdr:rowOff>
    </xdr:from>
    <xdr:to>
      <xdr:col>1</xdr:col>
      <xdr:colOff>645792</xdr:colOff>
      <xdr:row>13</xdr:row>
      <xdr:rowOff>126312</xdr:rowOff>
    </xdr:to>
    <xdr:pic>
      <xdr:nvPicPr>
        <xdr:cNvPr id="23" name="Graphic 22">
          <a:extLst>
            <a:ext uri="{FF2B5EF4-FFF2-40B4-BE49-F238E27FC236}">
              <a16:creationId xmlns:a16="http://schemas.microsoft.com/office/drawing/2014/main" id="{9633B7D5-8465-4377-AF7F-9AE5F8FC29D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rot="21420289">
          <a:off x="804068" y="2233131"/>
          <a:ext cx="298924" cy="298924"/>
        </a:xfrm>
        <a:prstGeom prst="rect">
          <a:avLst/>
        </a:prstGeom>
      </xdr:spPr>
    </xdr:pic>
    <xdr:clientData/>
  </xdr:twoCellAnchor>
  <xdr:twoCellAnchor>
    <xdr:from>
      <xdr:col>1</xdr:col>
      <xdr:colOff>480060</xdr:colOff>
      <xdr:row>14</xdr:row>
      <xdr:rowOff>167640</xdr:rowOff>
    </xdr:from>
    <xdr:to>
      <xdr:col>2</xdr:col>
      <xdr:colOff>617220</xdr:colOff>
      <xdr:row>15</xdr:row>
      <xdr:rowOff>167640</xdr:rowOff>
    </xdr:to>
    <xdr:sp macro="" textlink="Pivots!B13">
      <xdr:nvSpPr>
        <xdr:cNvPr id="24" name="TextBox 23">
          <a:extLst>
            <a:ext uri="{FF2B5EF4-FFF2-40B4-BE49-F238E27FC236}">
              <a16:creationId xmlns:a16="http://schemas.microsoft.com/office/drawing/2014/main" id="{9B2FD5AC-5B6A-4B8B-ABCB-1E589FED2E6A}"/>
            </a:ext>
          </a:extLst>
        </xdr:cNvPr>
        <xdr:cNvSpPr txBox="1"/>
      </xdr:nvSpPr>
      <xdr:spPr>
        <a:xfrm>
          <a:off x="937260" y="2727960"/>
          <a:ext cx="8077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6EE930-23CD-46DC-8F12-FDAAF26492D6}" type="TxLink">
            <a:rPr lang="en-US" sz="1100" b="0" i="0" u="none" strike="noStrike">
              <a:solidFill>
                <a:srgbClr val="000000"/>
              </a:solidFill>
              <a:latin typeface="Aptos"/>
            </a:rPr>
            <a:pPr algn="ctr"/>
            <a:t>$20,104 </a:t>
          </a:fld>
          <a:endParaRPr lang="en-IN" sz="1100">
            <a:solidFill>
              <a:sysClr val="windowText" lastClr="000000"/>
            </a:solidFill>
          </a:endParaRPr>
        </a:p>
      </xdr:txBody>
    </xdr:sp>
    <xdr:clientData/>
  </xdr:twoCellAnchor>
  <xdr:twoCellAnchor>
    <xdr:from>
      <xdr:col>1</xdr:col>
      <xdr:colOff>205740</xdr:colOff>
      <xdr:row>20</xdr:row>
      <xdr:rowOff>30480</xdr:rowOff>
    </xdr:from>
    <xdr:to>
      <xdr:col>3</xdr:col>
      <xdr:colOff>190500</xdr:colOff>
      <xdr:row>24</xdr:row>
      <xdr:rowOff>60960</xdr:rowOff>
    </xdr:to>
    <xdr:sp macro="" textlink="Pivots!$C$6">
      <xdr:nvSpPr>
        <xdr:cNvPr id="25" name="Rectangle 24">
          <a:extLst>
            <a:ext uri="{FF2B5EF4-FFF2-40B4-BE49-F238E27FC236}">
              <a16:creationId xmlns:a16="http://schemas.microsoft.com/office/drawing/2014/main" id="{B3D973F7-8CAA-467C-8399-E59E4F8CD3FE}"/>
            </a:ext>
          </a:extLst>
        </xdr:cNvPr>
        <xdr:cNvSpPr/>
      </xdr:nvSpPr>
      <xdr:spPr>
        <a:xfrm>
          <a:off x="662940" y="3688080"/>
          <a:ext cx="1325880" cy="7620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indent="0" algn="ctr"/>
          <a:r>
            <a:rPr lang="en-US" sz="1600" b="0" i="0" u="none" strike="noStrike">
              <a:solidFill>
                <a:schemeClr val="bg1"/>
              </a:solidFill>
              <a:latin typeface="+mj-lt"/>
              <a:ea typeface="+mn-ea"/>
              <a:cs typeface="+mn-cs"/>
            </a:rPr>
            <a:t>  </a:t>
          </a:r>
          <a:fld id="{4B6827E6-B90C-4D7F-B2BE-8A59E0C95E45}" type="TxLink">
            <a:rPr lang="en-US" sz="1600" b="0" i="0" u="none" strike="noStrike">
              <a:solidFill>
                <a:schemeClr val="bg1"/>
              </a:solidFill>
              <a:latin typeface="+mj-lt"/>
              <a:ea typeface="+mn-ea"/>
              <a:cs typeface="+mn-cs"/>
            </a:rPr>
            <a:pPr marL="0" indent="0" algn="ctr"/>
            <a:t>89,850</a:t>
          </a:fld>
          <a:endParaRPr lang="en-IN" sz="1600" b="0" i="0" u="none" strike="noStrike">
            <a:solidFill>
              <a:schemeClr val="bg1"/>
            </a:solidFill>
            <a:latin typeface="+mj-lt"/>
            <a:ea typeface="+mn-ea"/>
            <a:cs typeface="+mn-cs"/>
          </a:endParaRPr>
        </a:p>
      </xdr:txBody>
    </xdr:sp>
    <xdr:clientData/>
  </xdr:twoCellAnchor>
  <xdr:twoCellAnchor>
    <xdr:from>
      <xdr:col>1</xdr:col>
      <xdr:colOff>388620</xdr:colOff>
      <xdr:row>20</xdr:row>
      <xdr:rowOff>38100</xdr:rowOff>
    </xdr:from>
    <xdr:to>
      <xdr:col>3</xdr:col>
      <xdr:colOff>144780</xdr:colOff>
      <xdr:row>21</xdr:row>
      <xdr:rowOff>106680</xdr:rowOff>
    </xdr:to>
    <xdr:sp macro="" textlink="">
      <xdr:nvSpPr>
        <xdr:cNvPr id="26" name="TextBox 25">
          <a:extLst>
            <a:ext uri="{FF2B5EF4-FFF2-40B4-BE49-F238E27FC236}">
              <a16:creationId xmlns:a16="http://schemas.microsoft.com/office/drawing/2014/main" id="{77F540AE-799C-4CE8-9B5B-ACBC4A562618}"/>
            </a:ext>
          </a:extLst>
        </xdr:cNvPr>
        <xdr:cNvSpPr txBox="1"/>
      </xdr:nvSpPr>
      <xdr:spPr>
        <a:xfrm>
          <a:off x="845820" y="369570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Duration</a:t>
          </a:r>
        </a:p>
        <a:p>
          <a:endParaRPr lang="en-IN" sz="1100"/>
        </a:p>
      </xdr:txBody>
    </xdr:sp>
    <xdr:clientData/>
  </xdr:twoCellAnchor>
  <xdr:twoCellAnchor>
    <xdr:from>
      <xdr:col>1</xdr:col>
      <xdr:colOff>525780</xdr:colOff>
      <xdr:row>22</xdr:row>
      <xdr:rowOff>160020</xdr:rowOff>
    </xdr:from>
    <xdr:to>
      <xdr:col>2</xdr:col>
      <xdr:colOff>518160</xdr:colOff>
      <xdr:row>23</xdr:row>
      <xdr:rowOff>175260</xdr:rowOff>
    </xdr:to>
    <xdr:sp macro="" textlink="Pivots!C13">
      <xdr:nvSpPr>
        <xdr:cNvPr id="28" name="TextBox 27">
          <a:extLst>
            <a:ext uri="{FF2B5EF4-FFF2-40B4-BE49-F238E27FC236}">
              <a16:creationId xmlns:a16="http://schemas.microsoft.com/office/drawing/2014/main" id="{EA878992-2869-4D36-A216-AC9F7FA395BC}"/>
            </a:ext>
          </a:extLst>
        </xdr:cNvPr>
        <xdr:cNvSpPr txBox="1"/>
      </xdr:nvSpPr>
      <xdr:spPr>
        <a:xfrm>
          <a:off x="982980" y="4183380"/>
          <a:ext cx="6629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2F12F5-50C2-4EE4-A0E6-8C582681E1A3}" type="TxLink">
            <a:rPr lang="en-US" sz="1100" b="0" i="0" u="none" strike="noStrike">
              <a:solidFill>
                <a:srgbClr val="000000"/>
              </a:solidFill>
              <a:latin typeface="Aptos"/>
            </a:rPr>
            <a:pPr algn="ctr"/>
            <a:t>18,209</a:t>
          </a:fld>
          <a:endParaRPr lang="en-IN" sz="1100">
            <a:solidFill>
              <a:sysClr val="windowText" lastClr="000000"/>
            </a:solidFill>
          </a:endParaRPr>
        </a:p>
      </xdr:txBody>
    </xdr:sp>
    <xdr:clientData/>
  </xdr:twoCellAnchor>
  <xdr:twoCellAnchor>
    <xdr:from>
      <xdr:col>1</xdr:col>
      <xdr:colOff>205740</xdr:colOff>
      <xdr:row>27</xdr:row>
      <xdr:rowOff>175260</xdr:rowOff>
    </xdr:from>
    <xdr:to>
      <xdr:col>3</xdr:col>
      <xdr:colOff>190500</xdr:colOff>
      <xdr:row>32</xdr:row>
      <xdr:rowOff>22860</xdr:rowOff>
    </xdr:to>
    <xdr:sp macro="" textlink="Pivots!$D$6">
      <xdr:nvSpPr>
        <xdr:cNvPr id="33" name="Rectangle 32">
          <a:extLst>
            <a:ext uri="{FF2B5EF4-FFF2-40B4-BE49-F238E27FC236}">
              <a16:creationId xmlns:a16="http://schemas.microsoft.com/office/drawing/2014/main" id="{783E6261-0F93-492C-B63D-95B31007AEAC}"/>
            </a:ext>
          </a:extLst>
        </xdr:cNvPr>
        <xdr:cNvSpPr/>
      </xdr:nvSpPr>
      <xdr:spPr>
        <a:xfrm>
          <a:off x="662940" y="5113020"/>
          <a:ext cx="1325880" cy="7620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indent="0" algn="ctr"/>
          <a:fld id="{EA89A40E-2C4F-400E-A5A1-3E8BE9B44E45}" type="TxLink">
            <a:rPr lang="en-US" sz="1600" b="0" i="0" u="none" strike="noStrike">
              <a:solidFill>
                <a:schemeClr val="bg1"/>
              </a:solidFill>
              <a:latin typeface="+mj-lt"/>
              <a:ea typeface="+mn-ea"/>
              <a:cs typeface="+mn-cs"/>
            </a:rPr>
            <a:pPr marL="0" indent="0" algn="ctr"/>
            <a:t>3.9</a:t>
          </a:fld>
          <a:endParaRPr lang="en-IN" sz="1600" b="0" i="0" u="none" strike="noStrike">
            <a:solidFill>
              <a:schemeClr val="bg1"/>
            </a:solidFill>
            <a:latin typeface="+mj-lt"/>
            <a:ea typeface="+mn-ea"/>
            <a:cs typeface="+mn-cs"/>
          </a:endParaRPr>
        </a:p>
      </xdr:txBody>
    </xdr:sp>
    <xdr:clientData/>
  </xdr:twoCellAnchor>
  <xdr:twoCellAnchor>
    <xdr:from>
      <xdr:col>1</xdr:col>
      <xdr:colOff>350520</xdr:colOff>
      <xdr:row>28</xdr:row>
      <xdr:rowOff>7620</xdr:rowOff>
    </xdr:from>
    <xdr:to>
      <xdr:col>3</xdr:col>
      <xdr:colOff>106680</xdr:colOff>
      <xdr:row>29</xdr:row>
      <xdr:rowOff>76200</xdr:rowOff>
    </xdr:to>
    <xdr:sp macro="" textlink="">
      <xdr:nvSpPr>
        <xdr:cNvPr id="34" name="TextBox 33">
          <a:extLst>
            <a:ext uri="{FF2B5EF4-FFF2-40B4-BE49-F238E27FC236}">
              <a16:creationId xmlns:a16="http://schemas.microsoft.com/office/drawing/2014/main" id="{9C139B30-FCF2-4554-A7A1-F44941B50FA8}"/>
            </a:ext>
          </a:extLst>
        </xdr:cNvPr>
        <xdr:cNvSpPr txBox="1"/>
      </xdr:nvSpPr>
      <xdr:spPr>
        <a:xfrm>
          <a:off x="807720" y="512826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     Avg.</a:t>
          </a:r>
          <a:r>
            <a:rPr lang="en-IN" sz="1100" baseline="0">
              <a:solidFill>
                <a:schemeClr val="bg1"/>
              </a:solidFill>
            </a:rPr>
            <a:t> Rating</a:t>
          </a:r>
        </a:p>
        <a:p>
          <a:pPr algn="ctr"/>
          <a:endParaRPr lang="en-IN" sz="1100">
            <a:solidFill>
              <a:schemeClr val="bg1"/>
            </a:solidFill>
          </a:endParaRPr>
        </a:p>
        <a:p>
          <a:endParaRPr lang="en-IN" sz="1100"/>
        </a:p>
      </xdr:txBody>
    </xdr:sp>
    <xdr:clientData/>
  </xdr:twoCellAnchor>
  <xdr:twoCellAnchor>
    <xdr:from>
      <xdr:col>1</xdr:col>
      <xdr:colOff>480060</xdr:colOff>
      <xdr:row>30</xdr:row>
      <xdr:rowOff>160020</xdr:rowOff>
    </xdr:from>
    <xdr:to>
      <xdr:col>2</xdr:col>
      <xdr:colOff>472440</xdr:colOff>
      <xdr:row>31</xdr:row>
      <xdr:rowOff>175260</xdr:rowOff>
    </xdr:to>
    <xdr:sp macro="" textlink="Pivots!D13">
      <xdr:nvSpPr>
        <xdr:cNvPr id="36" name="TextBox 35">
          <a:extLst>
            <a:ext uri="{FF2B5EF4-FFF2-40B4-BE49-F238E27FC236}">
              <a16:creationId xmlns:a16="http://schemas.microsoft.com/office/drawing/2014/main" id="{50956727-4D79-417D-B446-5581E57CCB3F}"/>
            </a:ext>
          </a:extLst>
        </xdr:cNvPr>
        <xdr:cNvSpPr txBox="1"/>
      </xdr:nvSpPr>
      <xdr:spPr>
        <a:xfrm>
          <a:off x="937260" y="5646420"/>
          <a:ext cx="6629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Aptos"/>
            </a:rPr>
            <a:t>    </a:t>
          </a:r>
          <a:fld id="{AFAAE2A6-B987-4D82-8ECC-AB155BA8B9B1}" type="TxLink">
            <a:rPr lang="en-US" sz="1100" b="0" i="0" u="none" strike="noStrike">
              <a:solidFill>
                <a:srgbClr val="000000"/>
              </a:solidFill>
              <a:latin typeface="Aptos"/>
            </a:rPr>
            <a:pPr algn="ctr"/>
            <a:t>3.9</a:t>
          </a:fld>
          <a:endParaRPr lang="en-IN" sz="1100">
            <a:solidFill>
              <a:sysClr val="windowText" lastClr="000000"/>
            </a:solidFill>
          </a:endParaRPr>
        </a:p>
      </xdr:txBody>
    </xdr:sp>
    <xdr:clientData/>
  </xdr:twoCellAnchor>
  <xdr:twoCellAnchor>
    <xdr:from>
      <xdr:col>1</xdr:col>
      <xdr:colOff>190500</xdr:colOff>
      <xdr:row>34</xdr:row>
      <xdr:rowOff>182880</xdr:rowOff>
    </xdr:from>
    <xdr:to>
      <xdr:col>3</xdr:col>
      <xdr:colOff>141514</xdr:colOff>
      <xdr:row>40</xdr:row>
      <xdr:rowOff>21771</xdr:rowOff>
    </xdr:to>
    <xdr:sp macro="" textlink="Pivots!$E$6">
      <xdr:nvSpPr>
        <xdr:cNvPr id="37" name="Rectangle 36">
          <a:extLst>
            <a:ext uri="{FF2B5EF4-FFF2-40B4-BE49-F238E27FC236}">
              <a16:creationId xmlns:a16="http://schemas.microsoft.com/office/drawing/2014/main" id="{C55D4C12-3818-4CA8-A568-A0A63ED53C4A}"/>
            </a:ext>
          </a:extLst>
        </xdr:cNvPr>
        <xdr:cNvSpPr/>
      </xdr:nvSpPr>
      <xdr:spPr>
        <a:xfrm>
          <a:off x="364671" y="6474823"/>
          <a:ext cx="1300843" cy="94923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fld id="{FB061E7C-8FCE-46F0-AECF-82DF5A4D487E}" type="TxLink">
            <a:rPr lang="en-US" sz="1100" b="0" i="0" u="none" strike="noStrike">
              <a:solidFill>
                <a:srgbClr val="000000"/>
              </a:solidFill>
              <a:latin typeface="Aptos"/>
            </a:rPr>
            <a:pPr algn="ctr"/>
            <a:t>307</a:t>
          </a:fld>
          <a:endParaRPr lang="en-IN" sz="1600" b="0">
            <a:solidFill>
              <a:schemeClr val="bg1"/>
            </a:solidFill>
            <a:latin typeface="+mj-lt"/>
          </a:endParaRPr>
        </a:p>
      </xdr:txBody>
    </xdr:sp>
    <xdr:clientData/>
  </xdr:twoCellAnchor>
  <xdr:twoCellAnchor>
    <xdr:from>
      <xdr:col>1</xdr:col>
      <xdr:colOff>279763</xdr:colOff>
      <xdr:row>35</xdr:row>
      <xdr:rowOff>19594</xdr:rowOff>
    </xdr:from>
    <xdr:to>
      <xdr:col>3</xdr:col>
      <xdr:colOff>35923</xdr:colOff>
      <xdr:row>36</xdr:row>
      <xdr:rowOff>88174</xdr:rowOff>
    </xdr:to>
    <xdr:sp macro="" textlink="">
      <xdr:nvSpPr>
        <xdr:cNvPr id="38" name="TextBox 37">
          <a:extLst>
            <a:ext uri="{FF2B5EF4-FFF2-40B4-BE49-F238E27FC236}">
              <a16:creationId xmlns:a16="http://schemas.microsoft.com/office/drawing/2014/main" id="{44AA90D5-C4C9-4F48-B815-50ABD200595E}"/>
            </a:ext>
          </a:extLst>
        </xdr:cNvPr>
        <xdr:cNvSpPr txBox="1"/>
      </xdr:nvSpPr>
      <xdr:spPr>
        <a:xfrm>
          <a:off x="453934" y="6496594"/>
          <a:ext cx="1105989" cy="25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000">
              <a:solidFill>
                <a:schemeClr val="bg1"/>
              </a:solidFill>
              <a:latin typeface="+mn-lt"/>
              <a:ea typeface="+mn-ea"/>
              <a:cs typeface="+mn-cs"/>
            </a:rPr>
            <a:t>   </a:t>
          </a:r>
          <a:r>
            <a:rPr lang="en-IN" sz="1100" baseline="0">
              <a:solidFill>
                <a:schemeClr val="bg1"/>
              </a:solidFill>
              <a:latin typeface="+mn-lt"/>
              <a:ea typeface="+mn-ea"/>
              <a:cs typeface="+mn-cs"/>
            </a:rPr>
            <a:t>Happy</a:t>
          </a:r>
          <a:r>
            <a:rPr lang="en-IN" sz="1000">
              <a:solidFill>
                <a:schemeClr val="bg1"/>
              </a:solidFill>
              <a:latin typeface="+mn-lt"/>
              <a:ea typeface="+mn-ea"/>
              <a:cs typeface="+mn-cs"/>
            </a:rPr>
            <a:t> Callers</a:t>
          </a:r>
        </a:p>
        <a:p>
          <a:pPr algn="ctr"/>
          <a:endParaRPr lang="en-IN" sz="1100">
            <a:solidFill>
              <a:schemeClr val="bg1"/>
            </a:solidFill>
          </a:endParaRPr>
        </a:p>
        <a:p>
          <a:endParaRPr lang="en-IN" sz="1100"/>
        </a:p>
      </xdr:txBody>
    </xdr:sp>
    <xdr:clientData/>
  </xdr:twoCellAnchor>
  <xdr:twoCellAnchor>
    <xdr:from>
      <xdr:col>1</xdr:col>
      <xdr:colOff>492034</xdr:colOff>
      <xdr:row>38</xdr:row>
      <xdr:rowOff>35923</xdr:rowOff>
    </xdr:from>
    <xdr:to>
      <xdr:col>2</xdr:col>
      <xdr:colOff>484414</xdr:colOff>
      <xdr:row>39</xdr:row>
      <xdr:rowOff>51163</xdr:rowOff>
    </xdr:to>
    <xdr:sp macro="" textlink="Pivots!E13">
      <xdr:nvSpPr>
        <xdr:cNvPr id="40" name="TextBox 39">
          <a:extLst>
            <a:ext uri="{FF2B5EF4-FFF2-40B4-BE49-F238E27FC236}">
              <a16:creationId xmlns:a16="http://schemas.microsoft.com/office/drawing/2014/main" id="{FFD5C0F8-B389-490D-8BA9-95F18EC07B06}"/>
            </a:ext>
          </a:extLst>
        </xdr:cNvPr>
        <xdr:cNvSpPr txBox="1"/>
      </xdr:nvSpPr>
      <xdr:spPr>
        <a:xfrm>
          <a:off x="666205" y="7068094"/>
          <a:ext cx="667295" cy="200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B85976-C45B-43FA-8FE3-5D5F8F4D4306}" type="TxLink">
            <a:rPr lang="en-US" sz="1100" b="0" i="0" u="none" strike="noStrike">
              <a:solidFill>
                <a:srgbClr val="000000"/>
              </a:solidFill>
              <a:latin typeface="Aptos"/>
            </a:rPr>
            <a:pPr algn="ctr"/>
            <a:t>51</a:t>
          </a:fld>
          <a:endParaRPr lang="en-IN" sz="1100">
            <a:solidFill>
              <a:sysClr val="windowText" lastClr="000000"/>
            </a:solidFill>
          </a:endParaRPr>
        </a:p>
      </xdr:txBody>
    </xdr:sp>
    <xdr:clientData/>
  </xdr:twoCellAnchor>
  <xdr:twoCellAnchor editAs="oneCell">
    <xdr:from>
      <xdr:col>1</xdr:col>
      <xdr:colOff>254281</xdr:colOff>
      <xdr:row>35</xdr:row>
      <xdr:rowOff>68580</xdr:rowOff>
    </xdr:from>
    <xdr:to>
      <xdr:col>1</xdr:col>
      <xdr:colOff>457201</xdr:colOff>
      <xdr:row>36</xdr:row>
      <xdr:rowOff>66858</xdr:rowOff>
    </xdr:to>
    <xdr:pic>
      <xdr:nvPicPr>
        <xdr:cNvPr id="41" name="Graphic 40" descr="Star-struck face outline with solid fill">
          <a:extLst>
            <a:ext uri="{FF2B5EF4-FFF2-40B4-BE49-F238E27FC236}">
              <a16:creationId xmlns:a16="http://schemas.microsoft.com/office/drawing/2014/main" id="{459A44B8-5B33-4455-BF73-01F4FB877D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8452" y="6545580"/>
          <a:ext cx="202920" cy="183335"/>
        </a:xfrm>
        <a:prstGeom prst="rect">
          <a:avLst/>
        </a:prstGeom>
      </xdr:spPr>
    </xdr:pic>
    <xdr:clientData/>
  </xdr:twoCellAnchor>
  <xdr:twoCellAnchor editAs="oneCell">
    <xdr:from>
      <xdr:col>1</xdr:col>
      <xdr:colOff>411480</xdr:colOff>
      <xdr:row>20</xdr:row>
      <xdr:rowOff>60961</xdr:rowOff>
    </xdr:from>
    <xdr:to>
      <xdr:col>1</xdr:col>
      <xdr:colOff>635172</xdr:colOff>
      <xdr:row>21</xdr:row>
      <xdr:rowOff>99060</xdr:rowOff>
    </xdr:to>
    <xdr:pic>
      <xdr:nvPicPr>
        <xdr:cNvPr id="42" name="Graphic 41" descr="Hourglass Finished with solid fill">
          <a:extLst>
            <a:ext uri="{FF2B5EF4-FFF2-40B4-BE49-F238E27FC236}">
              <a16:creationId xmlns:a16="http://schemas.microsoft.com/office/drawing/2014/main" id="{4110523C-7FA8-4900-9AE2-7E0FFBB436A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68680" y="3718561"/>
          <a:ext cx="223692" cy="220979"/>
        </a:xfrm>
        <a:prstGeom prst="rect">
          <a:avLst/>
        </a:prstGeom>
      </xdr:spPr>
    </xdr:pic>
    <xdr:clientData/>
  </xdr:twoCellAnchor>
  <xdr:twoCellAnchor editAs="oneCell">
    <xdr:from>
      <xdr:col>1</xdr:col>
      <xdr:colOff>335280</xdr:colOff>
      <xdr:row>28</xdr:row>
      <xdr:rowOff>22861</xdr:rowOff>
    </xdr:from>
    <xdr:to>
      <xdr:col>1</xdr:col>
      <xdr:colOff>585154</xdr:colOff>
      <xdr:row>29</xdr:row>
      <xdr:rowOff>83820</xdr:rowOff>
    </xdr:to>
    <xdr:pic>
      <xdr:nvPicPr>
        <xdr:cNvPr id="43" name="Graphic 42" descr="Rating Star with solid fill">
          <a:extLst>
            <a:ext uri="{FF2B5EF4-FFF2-40B4-BE49-F238E27FC236}">
              <a16:creationId xmlns:a16="http://schemas.microsoft.com/office/drawing/2014/main" id="{64B03B4E-C55E-4E50-9E58-CB59D679BEF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792480" y="5143501"/>
          <a:ext cx="249874" cy="243839"/>
        </a:xfrm>
        <a:prstGeom prst="rect">
          <a:avLst/>
        </a:prstGeom>
      </xdr:spPr>
    </xdr:pic>
    <xdr:clientData/>
  </xdr:twoCellAnchor>
  <xdr:twoCellAnchor>
    <xdr:from>
      <xdr:col>3</xdr:col>
      <xdr:colOff>521426</xdr:colOff>
      <xdr:row>5</xdr:row>
      <xdr:rowOff>164373</xdr:rowOff>
    </xdr:from>
    <xdr:to>
      <xdr:col>9</xdr:col>
      <xdr:colOff>10886</xdr:colOff>
      <xdr:row>18</xdr:row>
      <xdr:rowOff>65313</xdr:rowOff>
    </xdr:to>
    <xdr:graphicFrame macro="">
      <xdr:nvGraphicFramePr>
        <xdr:cNvPr id="44" name="Chart 43">
          <a:extLst>
            <a:ext uri="{FF2B5EF4-FFF2-40B4-BE49-F238E27FC236}">
              <a16:creationId xmlns:a16="http://schemas.microsoft.com/office/drawing/2014/main" id="{AA610D6B-B56B-4403-9635-5B93ED5C2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402772</xdr:colOff>
      <xdr:row>20</xdr:row>
      <xdr:rowOff>97971</xdr:rowOff>
    </xdr:from>
    <xdr:to>
      <xdr:col>16</xdr:col>
      <xdr:colOff>511629</xdr:colOff>
      <xdr:row>40</xdr:row>
      <xdr:rowOff>65314</xdr:rowOff>
    </xdr:to>
    <xdr:graphicFrame macro="">
      <xdr:nvGraphicFramePr>
        <xdr:cNvPr id="47" name="Chart 46">
          <a:extLst>
            <a:ext uri="{FF2B5EF4-FFF2-40B4-BE49-F238E27FC236}">
              <a16:creationId xmlns:a16="http://schemas.microsoft.com/office/drawing/2014/main" id="{8F808FAE-F488-47CE-B05D-D587827F4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10885</xdr:colOff>
      <xdr:row>20</xdr:row>
      <xdr:rowOff>185056</xdr:rowOff>
    </xdr:from>
    <xdr:to>
      <xdr:col>10</xdr:col>
      <xdr:colOff>97971</xdr:colOff>
      <xdr:row>37</xdr:row>
      <xdr:rowOff>108856</xdr:rowOff>
    </xdr:to>
    <xdr:graphicFrame macro="">
      <xdr:nvGraphicFramePr>
        <xdr:cNvPr id="46" name="Chart 45">
          <a:extLst>
            <a:ext uri="{FF2B5EF4-FFF2-40B4-BE49-F238E27FC236}">
              <a16:creationId xmlns:a16="http://schemas.microsoft.com/office/drawing/2014/main" id="{D604A575-2CB0-454F-9BFC-281578491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25</xdr:col>
      <xdr:colOff>326572</xdr:colOff>
      <xdr:row>5</xdr:row>
      <xdr:rowOff>174167</xdr:rowOff>
    </xdr:from>
    <xdr:to>
      <xdr:col>27</xdr:col>
      <xdr:colOff>384266</xdr:colOff>
      <xdr:row>17</xdr:row>
      <xdr:rowOff>141511</xdr:rowOff>
    </xdr:to>
    <mc:AlternateContent xmlns:mc="http://schemas.openxmlformats.org/markup-compatibility/2006" xmlns:a14="http://schemas.microsoft.com/office/drawing/2010/main">
      <mc:Choice Requires="a14">
        <xdr:graphicFrame macro="">
          <xdr:nvGraphicFramePr>
            <xdr:cNvPr id="50" name="Representative">
              <a:extLst>
                <a:ext uri="{FF2B5EF4-FFF2-40B4-BE49-F238E27FC236}">
                  <a16:creationId xmlns:a16="http://schemas.microsoft.com/office/drawing/2014/main" id="{B5E678D1-4B75-4016-A1C4-B7D2312761C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8407743" y="1099453"/>
              <a:ext cx="1864723" cy="2188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228600</xdr:colOff>
      <xdr:row>5</xdr:row>
      <xdr:rowOff>108858</xdr:rowOff>
    </xdr:from>
    <xdr:to>
      <xdr:col>20</xdr:col>
      <xdr:colOff>32658</xdr:colOff>
      <xdr:row>18</xdr:row>
      <xdr:rowOff>97971</xdr:rowOff>
    </xdr:to>
    <xdr:graphicFrame macro="">
      <xdr:nvGraphicFramePr>
        <xdr:cNvPr id="6" name="Chart 5">
          <a:extLst>
            <a:ext uri="{FF2B5EF4-FFF2-40B4-BE49-F238E27FC236}">
              <a16:creationId xmlns:a16="http://schemas.microsoft.com/office/drawing/2014/main" id="{B6839A93-38E4-4641-90EF-D04287467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108858</xdr:colOff>
      <xdr:row>5</xdr:row>
      <xdr:rowOff>97972</xdr:rowOff>
    </xdr:from>
    <xdr:to>
      <xdr:col>25</xdr:col>
      <xdr:colOff>141516</xdr:colOff>
      <xdr:row>18</xdr:row>
      <xdr:rowOff>119743</xdr:rowOff>
    </xdr:to>
    <xdr:graphicFrame macro="">
      <xdr:nvGraphicFramePr>
        <xdr:cNvPr id="7" name="Chart 6">
          <a:extLst>
            <a:ext uri="{FF2B5EF4-FFF2-40B4-BE49-F238E27FC236}">
              <a16:creationId xmlns:a16="http://schemas.microsoft.com/office/drawing/2014/main" id="{27BE2032-7AFD-4E99-AAE0-324D4B92D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535295601854" backgroundQuery="1" createdVersion="8" refreshedVersion="8" minRefreshableVersion="3" recordCount="0" supportSubquery="1" supportAdvancedDrill="1" xr:uid="{CBF8D941-F3BE-4933-921E-161D4C293CE8}">
  <cacheSource type="external" connectionId="1"/>
  <cacheFields count="5">
    <cacheField name="[Measures].[Call_Count]" caption="Call_Count" numFmtId="0" hierarchy="19" level="32767"/>
    <cacheField name="[Measures].[Total_Amount]" caption="Total_Amount" numFmtId="0" hierarchy="20" level="32767"/>
    <cacheField name="[Measures].[Total_Duration]" caption="Total_Duration" numFmtId="0" hierarchy="21" level="32767"/>
    <cacheField name="[Measures].[Average_Rating]" caption="Average_Rating" numFmtId="0" hierarchy="22" level="32767"/>
    <cacheField name="[Measures].[5* calls]" caption="5* calls" numFmtId="0" hierarchy="23"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oneField="1">
      <fieldsUsage count="1">
        <fieldUsage x="0"/>
      </fieldsUsage>
    </cacheHierarchy>
    <cacheHierarchy uniqueName="[Measures].[Total_Amount]" caption="Total_Amount" measure="1" displayFolder="" measureGroup="calls" count="0" oneField="1">
      <fieldsUsage count="1">
        <fieldUsage x="1"/>
      </fieldsUsage>
    </cacheHierarchy>
    <cacheHierarchy uniqueName="[Measures].[Total_Duration]" caption="Total_Duration" measure="1" displayFolder="" measureGroup="calls" count="0" oneField="1">
      <fieldsUsage count="1">
        <fieldUsage x="2"/>
      </fieldsUsage>
    </cacheHierarchy>
    <cacheHierarchy uniqueName="[Measures].[Average_Rating]" caption="Average_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535296759263" backgroundQuery="1" createdVersion="8" refreshedVersion="8" minRefreshableVersion="3" recordCount="0" supportSubquery="1" supportAdvancedDrill="1" xr:uid="{04DFED03-8573-426C-B74B-222DFB1534C4}">
  <cacheSource type="external" connectionId="1"/>
  <cacheFields count="3">
    <cacheField name="[Measures].[Call_Count]" caption="Call_Count" numFmtId="0" hierarchy="19" level="32767"/>
    <cacheField name="[Measures].[Total_Amount]" caption="Total_Amount" numFmtId="0" hierarchy="20" level="32767"/>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oneField="1">
      <fieldsUsage count="1">
        <fieldUsage x="0"/>
      </fieldsUsage>
    </cacheHierarchy>
    <cacheHierarchy uniqueName="[Measures].[Total_Amount]" caption="Total_Amount" measure="1" displayFolder="" measureGroup="calls" count="0" oneField="1">
      <fieldsUsage count="1">
        <fieldUsage x="1"/>
      </fieldsUsage>
    </cacheHierarchy>
    <cacheHierarchy uniqueName="[Measures].[Total_Duration]" caption="Total_Duration" measure="1" displayFolder="" measureGroup="calls" count="0"/>
    <cacheHierarchy uniqueName="[Measures].[Average_Rating]" caption="Average_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535297916664" backgroundQuery="1" createdVersion="8" refreshedVersion="8" minRefreshableVersion="3" recordCount="0" supportSubquery="1" supportAdvancedDrill="1" xr:uid="{C72970D0-B8F8-40B5-8BFC-A8124B417AC7}">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_Count]" caption="Call_Count" numFmtId="0" hierarchy="19"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oneField="1">
      <fieldsUsage count="1">
        <fieldUsage x="2"/>
      </fieldsUsage>
    </cacheHierarchy>
    <cacheHierarchy uniqueName="[Measures].[Total_Amount]" caption="Total_Amount" measure="1" displayFolder="" measureGroup="calls" count="0"/>
    <cacheHierarchy uniqueName="[Measures].[Total_Duration]" caption="Total_Duration" measure="1" displayFolder="" measureGroup="calls" count="0"/>
    <cacheHierarchy uniqueName="[Measures].[Average_Rating]" caption="Average_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739593287035" backgroundQuery="1" createdVersion="8" refreshedVersion="8" minRefreshableVersion="3" recordCount="0" supportSubquery="1" supportAdvancedDrill="1" xr:uid="{F6650C00-29C2-47A9-93EF-F74188CFA079}">
  <cacheSource type="external" connectionId="1"/>
  <cacheFields count="4">
    <cacheField name="[customers].[City].[City]" caption="City" numFmtId="0" hierarchy="15" level="1">
      <sharedItems count="3">
        <s v="Cincinnati"/>
        <s v="Cleveland"/>
        <s v="Columbus"/>
      </sharedItems>
    </cacheField>
    <cacheField name="[Measures].[Total_Amount]" caption="Total_Amount" numFmtId="0" hierarchy="20" level="32767"/>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cacheHierarchy uniqueName="[Measures].[Total_Amount]" caption="Total_Amount" measure="1" displayFolder="" measureGroup="calls" count="0" oneField="1">
      <fieldsUsage count="1">
        <fieldUsage x="1"/>
      </fieldsUsage>
    </cacheHierarchy>
    <cacheHierarchy uniqueName="[Measures].[Total_Duration]" caption="Total_Duration" measure="1" displayFolder="" measureGroup="calls" count="0"/>
    <cacheHierarchy uniqueName="[Measures].[Average_Rating]" caption="Average_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763167245372" backgroundQuery="1" createdVersion="8" refreshedVersion="8" minRefreshableVersion="3" recordCount="0" supportSubquery="1" supportAdvancedDrill="1" xr:uid="{43D16F75-E1B7-4030-B876-1467DF61FB04}">
  <cacheSource type="external" connectionId="1"/>
  <cacheFields count="6">
    <cacheField name="[Measures].[Call_Count]" caption="Call_Count" numFmtId="0" hierarchy="19" level="32767"/>
    <cacheField name="[Measures].[Total_Amount]" caption="Total_Amount" numFmtId="0" hierarchy="20" level="32767"/>
    <cacheField name="[Measures].[Total_Duration]" caption="Total_Duration" numFmtId="0" hierarchy="21" level="32767"/>
    <cacheField name="[Measures].[Average_Rating]" caption="Average_Rating" numFmtId="0" hierarchy="22" level="32767"/>
    <cacheField name="[Measures].[5* calls]" caption="5* calls" numFmtId="0" hierarchy="23"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oneField="1">
      <fieldsUsage count="1">
        <fieldUsage x="0"/>
      </fieldsUsage>
    </cacheHierarchy>
    <cacheHierarchy uniqueName="[Measures].[Total_Amount]" caption="Total_Amount" measure="1" displayFolder="" measureGroup="calls" count="0" oneField="1">
      <fieldsUsage count="1">
        <fieldUsage x="1"/>
      </fieldsUsage>
    </cacheHierarchy>
    <cacheHierarchy uniqueName="[Measures].[Total_Duration]" caption="Total_Duration" measure="1" displayFolder="" measureGroup="calls" count="0" oneField="1">
      <fieldsUsage count="1">
        <fieldUsage x="2"/>
      </fieldsUsage>
    </cacheHierarchy>
    <cacheHierarchy uniqueName="[Measures].[Average_Rating]" caption="Average_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763167824072" backgroundQuery="1" createdVersion="8" refreshedVersion="8" minRefreshableVersion="3" recordCount="0" supportSubquery="1" supportAdvancedDrill="1" xr:uid="{B21B8F27-8C9E-4197-9817-F191FFD090D9}">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_Count]" caption="Call_Count" numFmtId="0" hierarchy="19"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oneField="1">
      <fieldsUsage count="1">
        <fieldUsage x="3"/>
      </fieldsUsage>
    </cacheHierarchy>
    <cacheHierarchy uniqueName="[Measures].[Total_Amount]" caption="Total_Amount" measure="1" displayFolder="" measureGroup="calls" count="0"/>
    <cacheHierarchy uniqueName="[Measures].[Total_Duration]" caption="Total_Duration" measure="1" displayFolder="" measureGroup="calls" count="0"/>
    <cacheHierarchy uniqueName="[Measures].[Average_Rating]" caption="Average_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763168287034" backgroundQuery="1" createdVersion="8" refreshedVersion="8" minRefreshableVersion="3" recordCount="0" supportSubquery="1" supportAdvancedDrill="1" xr:uid="{8D5D6244-C47D-4E2D-B9E4-1D09DE7FD390}">
  <cacheSource type="external" connectionId="1"/>
  <cacheFields count="3">
    <cacheField name="[calls].[Representative].[Representative]" caption="Representative" numFmtId="0" hierarchy="3" level="1">
      <sharedItems containsSemiMixedTypes="0" containsNonDate="0" containsString="0"/>
    </cacheField>
    <cacheField name="[Measures].[Call_Count]" caption="Call_Count" numFmtId="0" hierarchy="19" level="32767"/>
    <cacheField name="[calls].[Day of week].[Day of week]" caption="Day of week" numFmtId="0" hierarchy="8" level="1">
      <sharedItems count="7">
        <s v="Friday"/>
        <s v="Monday"/>
        <s v="Saturday"/>
        <s v="Sunday"/>
        <s v="Thursday"/>
        <s v="Tuesday"/>
        <s v="Wednesday"/>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oneField="1">
      <fieldsUsage count="1">
        <fieldUsage x="1"/>
      </fieldsUsage>
    </cacheHierarchy>
    <cacheHierarchy uniqueName="[Measures].[Total_Amount]" caption="Total_Amount" measure="1" displayFolder="" measureGroup="calls" count="0"/>
    <cacheHierarchy uniqueName="[Measures].[Total_Duration]" caption="Total_Duration" measure="1" displayFolder="" measureGroup="calls" count="0"/>
    <cacheHierarchy uniqueName="[Measures].[Average_Rating]" caption="Average_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763168750003" backgroundQuery="1" createdVersion="8" refreshedVersion="8" minRefreshableVersion="3" recordCount="0" supportSubquery="1" supportAdvancedDrill="1" xr:uid="{29ECB6E4-91C6-42F6-9FEB-9389989E8AD6}">
  <cacheSource type="external" connectionId="1"/>
  <cacheFields count="1">
    <cacheField name="[calls].[Representative].[Representative]" caption="Representative" numFmtId="0" hierarchy="3" level="1">
      <sharedItems count="1">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cacheHierarchy uniqueName="[Measures].[Total_Amount]" caption="Total_Amount" measure="1" displayFolder="" measureGroup="calls" count="0"/>
    <cacheHierarchy uniqueName="[Measures].[Total_Duration]" caption="Total_Duration" measure="1" displayFolder="" measureGroup="calls" count="0"/>
    <cacheHierarchy uniqueName="[Measures].[Average_Rating]" caption="Average_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763169097219" backgroundQuery="1" createdVersion="8" refreshedVersion="8" minRefreshableVersion="3" recordCount="0" supportSubquery="1" supportAdvancedDrill="1" xr:uid="{6EA9233F-14C0-4A93-A766-5D346544EB8D}">
  <cacheSource type="external" connectionId="1"/>
  <cacheFields count="3">
    <cacheField name="[calls].[Representative].[Representative]" caption="Representative" numFmtId="0" hierarchy="3" level="1">
      <sharedItems containsSemiMixedTypes="0" containsNonDate="0" containsString="0"/>
    </cacheField>
    <cacheField name="[Measures].[Call_Count]" caption="Call_Count" numFmtId="0" hierarchy="19" level="32767"/>
    <cacheField name="[Rating].[Rating].[Rating]" caption="Rating" numFmtId="0" hierarchy="16"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Rating].[Rating].&amp;[0]"/>
            <x15:cachedUniqueName index="1" name="[Rating].[Rating].&amp;[1]"/>
            <x15:cachedUniqueName index="2" name="[Rating].[Rating].&amp;[2]"/>
            <x15:cachedUniqueName index="3" name="[Rating].[Rating].&amp;[3]"/>
            <x15:cachedUniqueName index="4" name="[Rating].[Rating].&amp;[4]"/>
            <x15:cachedUniqueName index="5" name="[Rating].[Rating].&amp;[5]"/>
          </x15:cachedUniqueNames>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ting].[Rating]" caption="Rating" attribute="1" defaultMemberUniqueName="[Rating].[Rating].[All]" allUniqueName="[Rating].[Rating].[All]" dimensionUniqueName="[Rating]" displayFolder="" count="2" memberValueDatatype="2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oneField="1">
      <fieldsUsage count="1">
        <fieldUsage x="1"/>
      </fieldsUsage>
    </cacheHierarchy>
    <cacheHierarchy uniqueName="[Measures].[Total_Amount]" caption="Total_Amount" measure="1" displayFolder="" measureGroup="calls" count="0"/>
    <cacheHierarchy uniqueName="[Measures].[Total_Duration]" caption="Total_Duration" measure="1" displayFolder="" measureGroup="calls" count="0"/>
    <cacheHierarchy uniqueName="[Measures].[Average_Rating]" caption="Average_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Rating" uniqueName="[Rating]" caption="Rating"/>
  </dimensions>
  <measureGroups count="3">
    <measureGroup name="calls" caption="calls"/>
    <measureGroup name="customers" caption="customers"/>
    <measureGroup name="Rating" caption="Rating"/>
  </measureGroups>
  <maps count="5">
    <map measureGroup="0" dimension="0"/>
    <map measureGroup="0" dimension="1"/>
    <map measureGroup="0" dimension="3"/>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wmiya" refreshedDate="46227.535298379633" backgroundQuery="1" createdVersion="3" refreshedVersion="8" minRefreshableVersion="3" recordCount="0" supportSubquery="1" supportAdvancedDrill="1" xr:uid="{C3D43F9B-E260-471F-9F70-CA77B269AD5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Rating].[Rating]" caption="Rating" attribute="1" defaultMemberUniqueName="[Rating].[Rating].[All]" allUniqueName="[Rating].[Rating].[All]" dimensionUniqueName="[Rating]"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_Count]" caption="Call_Count" measure="1" displayFolder="" measureGroup="calls" count="0"/>
    <cacheHierarchy uniqueName="[Measures].[Total_Amount]" caption="Total_Amount" measure="1" displayFolder="" measureGroup="calls" count="0"/>
    <cacheHierarchy uniqueName="[Measures].[Total_Duration]" caption="Total_Duration" measure="1" displayFolder="" measureGroup="calls" count="0"/>
    <cacheHierarchy uniqueName="[Measures].[Average_Rating]" caption="Average_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Rating]" caption="__XL_Count Rating" measure="1" displayFolder="" measureGroup="Rati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38667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7A0307-823A-4669-A0AE-B09641E0C852}" name="Summary pivot" cacheId="0" applyNumberFormats="0" applyBorderFormats="0" applyFontFormats="0" applyPatternFormats="0" applyAlignmentFormats="0" applyWidthHeightFormats="1" dataCaption="Values" tag="2d489a1c-51a4-4448-b1a0-95b4a30b0011" updatedVersion="8" minRefreshableVersion="3" useAutoFormatting="1" itemPrintTitles="1" createdVersion="8" indent="0" outline="1" outlineData="1" multipleFieldFilters="0">
  <location ref="A5:E6"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dataField fld="4" subtotal="count" baseField="0" baseItem="0"/>
  </dataFields>
  <formats count="2">
    <format dxfId="3">
      <pivotArea outline="0" collapsedLevelsAreSubtotals="1" fieldPosition="0">
        <references count="1">
          <reference field="4294967294" count="1" selected="0">
            <x v="1"/>
          </reference>
        </references>
      </pivotArea>
    </format>
    <format dxfId="2">
      <pivotArea outline="0" fieldPosition="0">
        <references count="1">
          <reference field="4294967294" count="1">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New_Pivot_Style"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18EF1-7344-423B-9437-6C1A1AE97BCA}" name="Month_call_count" cacheId="5" applyNumberFormats="0" applyBorderFormats="0" applyFontFormats="0" applyPatternFormats="0" applyAlignmentFormats="0" applyWidthHeightFormats="1" dataCaption="Values" tag="f2e9f611-3947-4dfe-9005-cc63af48b4d7" updatedVersion="8" minRefreshableVersion="3" useAutoFormatting="1" subtotalHiddenItems="1" itemPrintTitles="1" createdVersion="8" indent="0" outline="1" outlineData="1" multipleFieldFilters="0" chartFormat="20">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_Count2" fld="4" subtotal="count" baseField="0" baseItem="0">
      <extLst>
        <ext xmlns:x14="http://schemas.microsoft.com/office/spreadsheetml/2009/9/main" uri="{E15A36E0-9728-4e99-A89B-3F7291B0FE68}">
          <x14:dataField sourceField="3" uniqueName="[__Xl2].[Measures].[Call_Count]"/>
        </ext>
      </extLst>
    </dataField>
  </dataFields>
  <chartFormats count="2">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New_Pivot_Style"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28606-4BE9-4EC1-8767-5323D74DB2E9}" name="PivotTable6" cacheId="3" applyNumberFormats="0" applyBorderFormats="0" applyFontFormats="0" applyPatternFormats="0" applyAlignmentFormats="0" applyWidthHeightFormats="1" dataCaption="Values" tag="0b07f95f-1641-49df-9dda-8bc0ba994d41" updatedVersion="8" minRefreshableVersion="3" useAutoFormatting="1" rowGrandTotals="0" itemPrintTitles="1" createdVersion="8" indent="0" outline="1" outlineData="1" multipleFieldFilters="0" chartFormat="9">
  <location ref="A96:G115"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s>
  <rowFields count="2">
    <field x="0"/>
    <field x="2"/>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New_Pivot_Style"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02B279-C8F7-438D-BCDB-70FFA04BBA2B}" name="Selected rep" cacheId="7" applyNumberFormats="0" applyBorderFormats="0" applyFontFormats="0" applyPatternFormats="0" applyAlignmentFormats="0" applyWidthHeightFormats="1" dataCaption="Values" tag="f1a23859-dda5-4a14-815b-b842ac3337b4" updatedVersion="8" minRefreshableVersion="3" subtotalHiddenItems="1" rowGrandTotals="0" colGrandTotals="0" itemPrintTitles="1" createdVersion="8" indent="0" outline="1" outlineData="1" multipleFieldFilters="0">
  <location ref="A58:A5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New_Pivot_Style"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EB2701-63D9-471A-8FFE-AE92663BF20E}" name="Satisfaction Rating count" cacheId="8" applyNumberFormats="0" applyBorderFormats="0" applyFontFormats="0" applyPatternFormats="0" applyAlignmentFormats="0" applyWidthHeightFormats="1" dataCaption="Values" tag="dd8b92fa-d030-4eba-8738-688b0b8b286e" updatedVersion="8" minRefreshableVersion="3" useAutoFormatting="1" subtotalHiddenItems="1" itemPrintTitles="1" createdVersion="8" indent="0" showEmptyRow="1" outline="1" outlineData="1" multipleFieldFilters="0" chartFormat="10">
  <location ref="A83:B9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ing]"/>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04CC91-C173-4864-AF64-4E929BA5D83C}" name="reps pivot" cacheId="1" applyNumberFormats="0" applyBorderFormats="0" applyFontFormats="0" applyPatternFormats="0" applyAlignmentFormats="0" applyWidthHeightFormats="1" dataCaption="Values" tag="e6b60d0b-2f9f-494b-88ac-a0f95a51cc64" updatedVersion="8" minRefreshableVersion="3" useAutoFormatting="1" itemPrintTitles="1" createdVersion="8" indent="0" outline="1" outlineData="1" multipleFieldFilters="0">
  <location ref="A43:C4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numFmtId="165"/>
  </dataFields>
  <formats count="2">
    <format dxfId="5">
      <pivotArea outline="0" collapsedLevelsAreSubtotals="1" fieldPosition="0">
        <references count="1">
          <reference field="4294967294" count="1" selected="0">
            <x v="1"/>
          </reference>
        </references>
      </pivotArea>
    </format>
    <format dxfId="4">
      <pivotArea outline="0" fieldPosition="0">
        <references count="1">
          <reference field="4294967294" count="1">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New_Pivot_Style"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A2138C-0AF0-45AC-A668-C4FE160B4E2A}" name="Weekly call count" cacheId="6" applyNumberFormats="0" applyBorderFormats="0" applyFontFormats="0" applyPatternFormats="0" applyAlignmentFormats="0" applyWidthHeightFormats="1" dataCaption="Values" tag="8adaebce-55cb-40f8-925b-42a9569b1b2e" updatedVersion="8" minRefreshableVersion="3" useAutoFormatting="1" subtotalHiddenItems="1" itemPrintTitles="1" createdVersion="8" indent="0" outline="1" outlineData="1" multipleFieldFilters="0" chartFormat="28">
  <location ref="E22:F3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3">
    <chartFormat chart="9"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New_Pivot_Style"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7D2717-7C7F-4743-AC91-B6ACEF7F3927}" name="Rep Pivot" cacheId="4" applyNumberFormats="0" applyBorderFormats="0" applyFontFormats="0" applyPatternFormats="0" applyAlignmentFormats="0" applyWidthHeightFormats="1" dataCaption="Values" tag="68b186f5-2d28-42a5-94c4-f6b7698b37d5"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dataField fld="4" subtotal="count" baseField="0" baseItem="0"/>
  </dataFields>
  <formats count="2">
    <format dxfId="7">
      <pivotArea outline="0" collapsedLevelsAreSubtotals="1" fieldPosition="0">
        <references count="1">
          <reference field="4294967294" count="1" selected="0">
            <x v="1"/>
          </reference>
        </references>
      </pivotArea>
    </format>
    <format dxfId="6">
      <pivotArea outline="0" fieldPosition="0">
        <references count="1">
          <reference field="4294967294" count="1">
            <x v="1"/>
          </reference>
        </references>
      </pivotArea>
    </format>
  </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New_Pivot_Style"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AB1AFE-A0DA-44C3-A822-394121E0E9F4}" name="Male Vs Female callers" cacheId="2" applyNumberFormats="0" applyBorderFormats="0" applyFontFormats="0" applyPatternFormats="0" applyAlignmentFormats="0" applyWidthHeightFormats="1" dataCaption="Values" tag="e010ccd8-6f79-4012-a5c9-9f4b9fe53fd8" updatedVersion="8" minRefreshableVersion="3" useAutoFormatting="1" itemPrintTitles="1" createdVersion="8" indent="0" outline="1" outlineData="1" multipleFieldFilters="0" chartFormat="9">
  <location ref="A69:D7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New_Pivot_Style"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4</v>
    <v>4</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9D200DC-2AA5-4566-B45E-F433AAE6DF17}" sourceName="[calls].[Representative]">
  <pivotTables>
    <pivotTable tabId="6" name="Rep Pivot"/>
    <pivotTable tabId="6" name="Month_call_count"/>
    <pivotTable tabId="6" name="Weekly call count"/>
    <pivotTable tabId="6" name="Selected rep"/>
    <pivotTable tabId="6" name="Satisfaction Rating count"/>
  </pivotTables>
  <data>
    <olap pivotCacheId="181386678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7FF1777A-3143-40CC-91AF-F014EDF78B99}" cache="Slicer_Representative" caption="Representative" level="1"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1F0C325-030B-4592-86CD-E5092BCAABE5}" cache="Slicer_Representative" caption="Representative" level="1" style="New_slicer_styl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1"/>
    <tableColumn id="5" xr3:uid="{5A35565E-8707-4DED-AD15-A0669D67B382}" name="Date of Call" dataDxfId="20"/>
    <tableColumn id="6" xr3:uid="{F2E4F158-B41F-47BC-8DF8-DFCADFEE4E40}" name="Purchase Amount"/>
    <tableColumn id="7" xr3:uid="{04B291B5-47BD-4F78-8FD8-D1551CCA6BD9}" name="Satisfaction Rating"/>
    <tableColumn id="8" xr3:uid="{6E4123C0-0B17-43B8-A142-A1E540CE974C}" name="FY" dataDxfId="19">
      <calculatedColumnFormula>IF(MONTH(calls[[#This Row],[Date of Call]])&lt;=6, YEAR(calls[[#This Row],[Date of Call]]), YEAR(calls[[#This Row],[Date of Call]])+1)</calculatedColumnFormula>
    </tableColumn>
    <tableColumn id="9" xr3:uid="{199FA271-5E9B-46CE-9BC6-2801F92CD17E}" name="Day of week" dataDxfId="18">
      <calculatedColumnFormula>TEXT(calls[[#This Row],[Date of Call]],"DDDD")</calculatedColumnFormula>
    </tableColumn>
    <tableColumn id="10" xr3:uid="{328CDB09-95B8-4D5E-9ED9-EF0D363735A1}" name="Duration Bucket" dataDxfId="17">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6">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5" headerRowBorderDxfId="14" tableBorderDxfId="13" totalsRowBorderDxfId="12">
  <autoFilter ref="Q3:T18" xr:uid="{27158F51-A707-4171-8A04-81FB0AABCBA5}"/>
  <tableColumns count="4">
    <tableColumn id="1" xr3:uid="{02688061-6A8C-4E23-B7FF-D00CD8B58CAC}" name="Customer ID" dataDxfId="11"/>
    <tableColumn id="2" xr3:uid="{771678B6-DB44-426B-9874-B4E421A440D5}" name="Gedner" dataDxfId="10"/>
    <tableColumn id="3" xr3:uid="{B0D41C62-587E-494D-B49A-603F2C05F8D3}" name="Age" dataDxfId="9"/>
    <tableColumn id="4" xr3:uid="{663F92D6-FE31-4D81-9E01-8D066DDC8A88}" name="City"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50A966-7554-4767-B890-04E561EA07AA}" name="Rating" displayName="Rating" ref="Q22:Q28" totalsRowShown="0">
  <autoFilter ref="Q22:Q28" xr:uid="{C350A966-7554-4767-B890-04E561EA07AA}"/>
  <tableColumns count="1">
    <tableColumn id="1" xr3:uid="{814F7AB0-3E9D-4A56-A6B6-486543A0A969}"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1" zoomScaleNormal="100" workbookViewId="0">
      <selection activeCell="Q22" sqref="Q22:Q28"/>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c r="Q22" t="s">
        <v>1090</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Q23">
        <v>0</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c r="Q24">
        <v>1</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Q25">
        <v>2</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c r="Q26">
        <v>3</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Q27">
        <v>4</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c r="Q28">
        <v>5</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2" sqref="F2"/>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C18F2-876C-4580-90F2-87FCB2B5D164}">
  <dimension ref="A3:L115"/>
  <sheetViews>
    <sheetView showGridLines="0" workbookViewId="0">
      <selection activeCell="A12" sqref="A12"/>
    </sheetView>
  </sheetViews>
  <sheetFormatPr defaultRowHeight="14.4" x14ac:dyDescent="0.3"/>
  <cols>
    <col min="1" max="1" width="12.19921875" bestFit="1" customWidth="1"/>
    <col min="2" max="2" width="9.8984375" bestFit="1" customWidth="1"/>
    <col min="3" max="3" width="10.8984375" bestFit="1" customWidth="1"/>
    <col min="4" max="4" width="13.5" bestFit="1" customWidth="1"/>
    <col min="5" max="5" width="12.19921875" bestFit="1" customWidth="1"/>
    <col min="6" max="6" width="9.8984375" bestFit="1" customWidth="1"/>
    <col min="7" max="7" width="10.3984375" bestFit="1" customWidth="1"/>
    <col min="8" max="8" width="13.69921875" customWidth="1"/>
    <col min="9" max="9" width="21.19921875" customWidth="1"/>
    <col min="10" max="10" width="14.69921875" customWidth="1"/>
  </cols>
  <sheetData>
    <row r="3" spans="1:5" x14ac:dyDescent="0.3">
      <c r="A3" s="28" t="s">
        <v>1049</v>
      </c>
      <c r="B3" s="28" t="s">
        <v>1050</v>
      </c>
    </row>
    <row r="5" spans="1:5" x14ac:dyDescent="0.3">
      <c r="A5" t="s">
        <v>1044</v>
      </c>
      <c r="B5" t="s">
        <v>1045</v>
      </c>
      <c r="C5" t="s">
        <v>1046</v>
      </c>
      <c r="D5" t="s">
        <v>1047</v>
      </c>
      <c r="E5" t="s">
        <v>1048</v>
      </c>
    </row>
    <row r="6" spans="1:5" x14ac:dyDescent="0.3">
      <c r="A6" s="23">
        <v>1000</v>
      </c>
      <c r="B6" s="24">
        <v>96623</v>
      </c>
      <c r="C6" s="23">
        <v>89850</v>
      </c>
      <c r="D6" s="25">
        <v>3.8854000000000033</v>
      </c>
      <c r="E6" s="23">
        <v>307</v>
      </c>
    </row>
    <row r="10" spans="1:5" x14ac:dyDescent="0.3">
      <c r="A10" s="28" t="s">
        <v>1051</v>
      </c>
      <c r="B10" s="28" t="s">
        <v>1052</v>
      </c>
    </row>
    <row r="12" spans="1:5" x14ac:dyDescent="0.3">
      <c r="A12" t="s">
        <v>1044</v>
      </c>
      <c r="B12" t="s">
        <v>1045</v>
      </c>
      <c r="C12" t="s">
        <v>1046</v>
      </c>
      <c r="D12" t="s">
        <v>1047</v>
      </c>
      <c r="E12" t="s">
        <v>1048</v>
      </c>
    </row>
    <row r="13" spans="1:5" x14ac:dyDescent="0.3">
      <c r="A13" s="23">
        <v>200</v>
      </c>
      <c r="B13" s="24">
        <v>20104</v>
      </c>
      <c r="C13" s="23">
        <v>18209</v>
      </c>
      <c r="D13" s="25">
        <v>3.8824999999999998</v>
      </c>
      <c r="E13" s="23">
        <v>51</v>
      </c>
    </row>
    <row r="20" spans="1:6" x14ac:dyDescent="0.3">
      <c r="A20" s="28" t="s">
        <v>1065</v>
      </c>
      <c r="B20" s="28" t="s">
        <v>1066</v>
      </c>
      <c r="E20" s="28" t="s">
        <v>1068</v>
      </c>
      <c r="F20" s="28" t="s">
        <v>1069</v>
      </c>
    </row>
    <row r="22" spans="1:6" x14ac:dyDescent="0.3">
      <c r="A22" s="21" t="s">
        <v>1042</v>
      </c>
      <c r="B22" t="s">
        <v>1044</v>
      </c>
      <c r="C22" t="s">
        <v>1067</v>
      </c>
      <c r="E22" s="21" t="s">
        <v>1042</v>
      </c>
      <c r="F22" t="s">
        <v>1044</v>
      </c>
    </row>
    <row r="23" spans="1:6" x14ac:dyDescent="0.3">
      <c r="A23" s="22" t="s">
        <v>1053</v>
      </c>
      <c r="B23" s="23">
        <v>21</v>
      </c>
      <c r="C23" s="23">
        <v>21</v>
      </c>
      <c r="E23" s="22" t="s">
        <v>1073</v>
      </c>
      <c r="F23" s="23">
        <v>27</v>
      </c>
    </row>
    <row r="24" spans="1:6" x14ac:dyDescent="0.3">
      <c r="A24" s="22" t="s">
        <v>1054</v>
      </c>
      <c r="B24" s="23">
        <v>18</v>
      </c>
      <c r="C24" s="23">
        <v>18</v>
      </c>
      <c r="E24" s="22" t="s">
        <v>1071</v>
      </c>
      <c r="F24" s="23">
        <v>22</v>
      </c>
    </row>
    <row r="25" spans="1:6" x14ac:dyDescent="0.3">
      <c r="A25" s="22" t="s">
        <v>1055</v>
      </c>
      <c r="B25" s="23">
        <v>31</v>
      </c>
      <c r="C25" s="23">
        <v>31</v>
      </c>
      <c r="E25" s="22" t="s">
        <v>1075</v>
      </c>
      <c r="F25" s="23">
        <v>27</v>
      </c>
    </row>
    <row r="26" spans="1:6" x14ac:dyDescent="0.3">
      <c r="A26" s="22" t="s">
        <v>1056</v>
      </c>
      <c r="B26" s="23">
        <v>20</v>
      </c>
      <c r="C26" s="23">
        <v>20</v>
      </c>
      <c r="E26" s="22" t="s">
        <v>1076</v>
      </c>
      <c r="F26" s="23">
        <v>27</v>
      </c>
    </row>
    <row r="27" spans="1:6" x14ac:dyDescent="0.3">
      <c r="A27" s="22" t="s">
        <v>1057</v>
      </c>
      <c r="B27" s="23">
        <v>8</v>
      </c>
      <c r="C27" s="23">
        <v>8</v>
      </c>
      <c r="E27" s="22" t="s">
        <v>1074</v>
      </c>
      <c r="F27" s="23">
        <v>27</v>
      </c>
    </row>
    <row r="28" spans="1:6" x14ac:dyDescent="0.3">
      <c r="A28" s="22" t="s">
        <v>1058</v>
      </c>
      <c r="B28" s="23">
        <v>12</v>
      </c>
      <c r="C28" s="23">
        <v>12</v>
      </c>
      <c r="E28" s="22" t="s">
        <v>1070</v>
      </c>
      <c r="F28" s="23">
        <v>32</v>
      </c>
    </row>
    <row r="29" spans="1:6" x14ac:dyDescent="0.3">
      <c r="A29" s="22" t="s">
        <v>1059</v>
      </c>
      <c r="B29" s="23">
        <v>12</v>
      </c>
      <c r="C29" s="23">
        <v>12</v>
      </c>
      <c r="E29" s="22" t="s">
        <v>1072</v>
      </c>
      <c r="F29" s="23">
        <v>38</v>
      </c>
    </row>
    <row r="30" spans="1:6" x14ac:dyDescent="0.3">
      <c r="A30" s="22" t="s">
        <v>1060</v>
      </c>
      <c r="B30" s="23">
        <v>7</v>
      </c>
      <c r="C30" s="23">
        <v>7</v>
      </c>
      <c r="E30" s="22" t="s">
        <v>1043</v>
      </c>
      <c r="F30" s="23">
        <v>200</v>
      </c>
    </row>
    <row r="31" spans="1:6" x14ac:dyDescent="0.3">
      <c r="A31" s="22" t="s">
        <v>1061</v>
      </c>
      <c r="B31" s="23">
        <v>20</v>
      </c>
      <c r="C31" s="23">
        <v>20</v>
      </c>
    </row>
    <row r="32" spans="1:6" x14ac:dyDescent="0.3">
      <c r="A32" s="22" t="s">
        <v>1062</v>
      </c>
      <c r="B32" s="23">
        <v>24</v>
      </c>
      <c r="C32" s="23">
        <v>24</v>
      </c>
    </row>
    <row r="33" spans="1:12" x14ac:dyDescent="0.3">
      <c r="A33" s="22" t="s">
        <v>1063</v>
      </c>
      <c r="B33" s="23">
        <v>12</v>
      </c>
      <c r="C33" s="23">
        <v>12</v>
      </c>
    </row>
    <row r="34" spans="1:12" x14ac:dyDescent="0.3">
      <c r="A34" s="22" t="s">
        <v>1064</v>
      </c>
      <c r="B34" s="23">
        <v>15</v>
      </c>
      <c r="C34" s="23">
        <v>15</v>
      </c>
    </row>
    <row r="35" spans="1:12" x14ac:dyDescent="0.3">
      <c r="A35" s="22" t="s">
        <v>1043</v>
      </c>
      <c r="B35" s="23">
        <v>200</v>
      </c>
      <c r="C35" s="23">
        <v>200</v>
      </c>
    </row>
    <row r="40" spans="1:12" x14ac:dyDescent="0.3">
      <c r="A40" s="28" t="s">
        <v>1077</v>
      </c>
      <c r="B40" s="28" t="s">
        <v>1078</v>
      </c>
    </row>
    <row r="41" spans="1:12" x14ac:dyDescent="0.3">
      <c r="A41" s="28"/>
      <c r="B41" s="28"/>
    </row>
    <row r="42" spans="1:12" x14ac:dyDescent="0.3">
      <c r="A42" s="28"/>
      <c r="B42" s="28"/>
      <c r="F42" s="28" t="s">
        <v>1079</v>
      </c>
      <c r="J42" s="14" t="s">
        <v>1082</v>
      </c>
      <c r="K42" s="14"/>
      <c r="L42" s="14" t="str">
        <f>A59</f>
        <v>R05</v>
      </c>
    </row>
    <row r="43" spans="1:12" x14ac:dyDescent="0.3">
      <c r="A43" s="21" t="s">
        <v>1042</v>
      </c>
      <c r="B43" t="s">
        <v>1044</v>
      </c>
      <c r="C43" t="s">
        <v>1045</v>
      </c>
    </row>
    <row r="44" spans="1:12" x14ac:dyDescent="0.3">
      <c r="A44" s="22" t="s">
        <v>11</v>
      </c>
      <c r="B44" s="23">
        <v>189</v>
      </c>
      <c r="C44" s="24">
        <v>18415</v>
      </c>
    </row>
    <row r="45" spans="1:12" x14ac:dyDescent="0.3">
      <c r="A45" s="22" t="s">
        <v>9</v>
      </c>
      <c r="B45" s="23">
        <v>218</v>
      </c>
      <c r="C45" s="24">
        <v>20581</v>
      </c>
      <c r="F45" s="2" t="s">
        <v>1042</v>
      </c>
      <c r="G45" s="2" t="s">
        <v>1044</v>
      </c>
      <c r="H45" s="29" t="s">
        <v>1045</v>
      </c>
      <c r="I45" s="2" t="s">
        <v>1083</v>
      </c>
      <c r="J45" s="2" t="s">
        <v>1084</v>
      </c>
    </row>
    <row r="46" spans="1:12" x14ac:dyDescent="0.3">
      <c r="A46" s="22" t="s">
        <v>6</v>
      </c>
      <c r="B46" s="23">
        <v>207</v>
      </c>
      <c r="C46" s="24">
        <v>20872</v>
      </c>
      <c r="F46" s="2" t="s">
        <v>11</v>
      </c>
      <c r="G46" s="2">
        <v>189</v>
      </c>
      <c r="H46" s="29">
        <v>18415</v>
      </c>
      <c r="I46" s="2" t="str">
        <f>IF(F46=$L$42,G46,"NA")</f>
        <v>NA</v>
      </c>
      <c r="J46" s="2" t="str">
        <f>IF(F46=$L$42,H46,"NA")</f>
        <v>NA</v>
      </c>
    </row>
    <row r="47" spans="1:12" x14ac:dyDescent="0.3">
      <c r="A47" s="22" t="s">
        <v>13</v>
      </c>
      <c r="B47" s="23">
        <v>186</v>
      </c>
      <c r="C47" s="24">
        <v>16651</v>
      </c>
      <c r="F47" s="2" t="s">
        <v>9</v>
      </c>
      <c r="G47" s="2">
        <v>218</v>
      </c>
      <c r="H47" s="29">
        <v>20581</v>
      </c>
      <c r="I47" s="2" t="str">
        <f t="shared" ref="I47:I50" si="0">IF(F47=$L$42,G47,"NA")</f>
        <v>NA</v>
      </c>
      <c r="J47" s="2" t="str">
        <f t="shared" ref="J47:J51" si="1">IF(F47=$L$42,H47,"NA")</f>
        <v>NA</v>
      </c>
    </row>
    <row r="48" spans="1:12" x14ac:dyDescent="0.3">
      <c r="A48" s="22" t="s">
        <v>10</v>
      </c>
      <c r="B48" s="23">
        <v>200</v>
      </c>
      <c r="C48" s="24">
        <v>20104</v>
      </c>
      <c r="F48" s="2" t="s">
        <v>6</v>
      </c>
      <c r="G48" s="2">
        <v>207</v>
      </c>
      <c r="H48" s="29">
        <v>20872</v>
      </c>
      <c r="I48" s="2" t="str">
        <f t="shared" si="0"/>
        <v>NA</v>
      </c>
      <c r="J48" s="2" t="str">
        <f t="shared" si="1"/>
        <v>NA</v>
      </c>
    </row>
    <row r="49" spans="1:11" x14ac:dyDescent="0.3">
      <c r="A49" s="22" t="s">
        <v>1043</v>
      </c>
      <c r="B49" s="23">
        <v>1000</v>
      </c>
      <c r="C49" s="24">
        <v>96623</v>
      </c>
      <c r="F49" s="2" t="s">
        <v>13</v>
      </c>
      <c r="G49" s="2">
        <v>186</v>
      </c>
      <c r="H49" s="29">
        <v>16651</v>
      </c>
      <c r="I49" s="2" t="str">
        <f t="shared" si="0"/>
        <v>NA</v>
      </c>
      <c r="J49" s="2" t="str">
        <f t="shared" si="1"/>
        <v>NA</v>
      </c>
    </row>
    <row r="50" spans="1:11" x14ac:dyDescent="0.3">
      <c r="F50" s="2" t="s">
        <v>10</v>
      </c>
      <c r="G50" s="2">
        <v>200</v>
      </c>
      <c r="H50" s="29">
        <v>20104</v>
      </c>
      <c r="I50" s="2">
        <f t="shared" si="0"/>
        <v>200</v>
      </c>
      <c r="J50" s="2">
        <f t="shared" si="1"/>
        <v>20104</v>
      </c>
    </row>
    <row r="51" spans="1:11" x14ac:dyDescent="0.3">
      <c r="F51" s="2" t="s">
        <v>1043</v>
      </c>
      <c r="G51" s="2">
        <v>1000</v>
      </c>
      <c r="H51" s="29">
        <v>96623</v>
      </c>
      <c r="I51" s="2"/>
      <c r="J51" s="2" t="str">
        <f t="shared" si="1"/>
        <v>NA</v>
      </c>
    </row>
    <row r="56" spans="1:11" x14ac:dyDescent="0.3">
      <c r="A56" s="28" t="s">
        <v>1080</v>
      </c>
      <c r="B56" s="28" t="s">
        <v>1081</v>
      </c>
    </row>
    <row r="57" spans="1:11" x14ac:dyDescent="0.3">
      <c r="J57" t="s">
        <v>1093</v>
      </c>
    </row>
    <row r="58" spans="1:11" x14ac:dyDescent="0.3">
      <c r="A58" s="21" t="s">
        <v>1042</v>
      </c>
    </row>
    <row r="59" spans="1:11" x14ac:dyDescent="0.3">
      <c r="A59" s="22" t="s">
        <v>10</v>
      </c>
      <c r="J59" t="s">
        <v>1094</v>
      </c>
      <c r="K59" s="40">
        <f>A13/A6</f>
        <v>0.2</v>
      </c>
    </row>
    <row r="60" spans="1:11" x14ac:dyDescent="0.3">
      <c r="J60" t="s">
        <v>1095</v>
      </c>
      <c r="K60">
        <f>VLOOKUP(A59,F46:H50,2,FALSE)</f>
        <v>200</v>
      </c>
    </row>
    <row r="61" spans="1:11" x14ac:dyDescent="0.3">
      <c r="J61" t="s">
        <v>1096</v>
      </c>
      <c r="K61">
        <f>VLOOKUP(A59,F46:H50,3,FALSE)</f>
        <v>20104</v>
      </c>
    </row>
    <row r="63" spans="1:11" x14ac:dyDescent="0.3">
      <c r="J63" t="s">
        <v>1097</v>
      </c>
      <c r="K63">
        <f>_xlfn.RANK.AVG(K60,G46:G50)</f>
        <v>3</v>
      </c>
    </row>
    <row r="64" spans="1:11" x14ac:dyDescent="0.3">
      <c r="J64" t="s">
        <v>1098</v>
      </c>
      <c r="K64">
        <f>_xlfn.RANK.AVG(K61,H46:H50)</f>
        <v>3</v>
      </c>
    </row>
    <row r="65" spans="1:11" x14ac:dyDescent="0.3">
      <c r="A65" s="22"/>
    </row>
    <row r="66" spans="1:11" x14ac:dyDescent="0.3">
      <c r="A66" s="22"/>
      <c r="J66" t="s">
        <v>1099</v>
      </c>
    </row>
    <row r="67" spans="1:11" x14ac:dyDescent="0.3">
      <c r="A67" s="28" t="s">
        <v>1085</v>
      </c>
      <c r="B67" s="28" t="s">
        <v>1086</v>
      </c>
      <c r="C67" s="28"/>
    </row>
    <row r="68" spans="1:11" x14ac:dyDescent="0.3">
      <c r="K68" t="str">
        <f>"% of calls:"&amp;TEXT(K59,"0%")</f>
        <v>% of calls:20%</v>
      </c>
    </row>
    <row r="69" spans="1:11" x14ac:dyDescent="0.3">
      <c r="A69" s="21" t="s">
        <v>1044</v>
      </c>
      <c r="B69" s="21" t="s">
        <v>1087</v>
      </c>
      <c r="K69" t="str">
        <f>IF(COUNTA(A59:A63)&gt;1,"","Call rank:"&amp;K63)</f>
        <v>Call rank:3</v>
      </c>
    </row>
    <row r="70" spans="1:11" x14ac:dyDescent="0.3">
      <c r="A70" s="21" t="s">
        <v>1042</v>
      </c>
      <c r="B70" t="s">
        <v>999</v>
      </c>
      <c r="C70" t="s">
        <v>998</v>
      </c>
      <c r="D70" t="s">
        <v>1043</v>
      </c>
      <c r="K70" t="str">
        <f>IF(COUNTA(A59:A63)&gt;1,"","Amount rank:"&amp;K64)</f>
        <v>Amount rank:3</v>
      </c>
    </row>
    <row r="71" spans="1:11" x14ac:dyDescent="0.3">
      <c r="A71" s="22" t="s">
        <v>1002</v>
      </c>
      <c r="B71" s="23">
        <v>144</v>
      </c>
      <c r="C71" s="23">
        <v>132</v>
      </c>
      <c r="D71" s="23">
        <v>276</v>
      </c>
    </row>
    <row r="72" spans="1:11" x14ac:dyDescent="0.3">
      <c r="A72" s="22" t="s">
        <v>1001</v>
      </c>
      <c r="B72" s="23">
        <v>326</v>
      </c>
      <c r="C72" s="23">
        <v>63</v>
      </c>
      <c r="D72" s="23">
        <v>389</v>
      </c>
      <c r="J72" t="s">
        <v>1100</v>
      </c>
      <c r="K72" t="e" vm="6">
        <f>VLOOKUP(A59,Assets!E3:F7,2,FALSE)</f>
        <v>#VALUE!</v>
      </c>
    </row>
    <row r="73" spans="1:11" x14ac:dyDescent="0.3">
      <c r="A73" s="22" t="s">
        <v>1000</v>
      </c>
      <c r="B73" s="23">
        <v>129</v>
      </c>
      <c r="C73" s="23">
        <v>206</v>
      </c>
      <c r="D73" s="23">
        <v>335</v>
      </c>
    </row>
    <row r="74" spans="1:11" x14ac:dyDescent="0.3">
      <c r="A74" s="22" t="s">
        <v>1043</v>
      </c>
      <c r="B74" s="23">
        <v>599</v>
      </c>
      <c r="C74" s="23">
        <v>401</v>
      </c>
      <c r="D74" s="23">
        <v>1000</v>
      </c>
    </row>
    <row r="79" spans="1:11" x14ac:dyDescent="0.3">
      <c r="A79" s="28" t="s">
        <v>1088</v>
      </c>
      <c r="B79" s="28" t="s">
        <v>1089</v>
      </c>
      <c r="C79" s="28"/>
    </row>
    <row r="83" spans="1:2" x14ac:dyDescent="0.3">
      <c r="A83" s="21" t="s">
        <v>1042</v>
      </c>
      <c r="B83" t="s">
        <v>1044</v>
      </c>
    </row>
    <row r="84" spans="1:2" x14ac:dyDescent="0.3">
      <c r="A84" s="22">
        <v>0</v>
      </c>
      <c r="B84" s="23"/>
    </row>
    <row r="85" spans="1:2" x14ac:dyDescent="0.3">
      <c r="A85" s="22">
        <v>1</v>
      </c>
      <c r="B85" s="23"/>
    </row>
    <row r="86" spans="1:2" x14ac:dyDescent="0.3">
      <c r="A86" s="22">
        <v>2</v>
      </c>
      <c r="B86" s="23">
        <v>10</v>
      </c>
    </row>
    <row r="87" spans="1:2" x14ac:dyDescent="0.3">
      <c r="A87" s="22">
        <v>3</v>
      </c>
      <c r="B87" s="23">
        <v>44</v>
      </c>
    </row>
    <row r="88" spans="1:2" x14ac:dyDescent="0.3">
      <c r="A88" s="22">
        <v>4</v>
      </c>
      <c r="B88" s="23">
        <v>95</v>
      </c>
    </row>
    <row r="89" spans="1:2" x14ac:dyDescent="0.3">
      <c r="A89" s="22">
        <v>5</v>
      </c>
      <c r="B89" s="23">
        <v>51</v>
      </c>
    </row>
    <row r="90" spans="1:2" x14ac:dyDescent="0.3">
      <c r="A90" s="22" t="s">
        <v>1043</v>
      </c>
      <c r="B90" s="23">
        <v>200</v>
      </c>
    </row>
    <row r="93" spans="1:2" x14ac:dyDescent="0.3">
      <c r="A93" s="28" t="s">
        <v>1091</v>
      </c>
      <c r="B93" s="28" t="s">
        <v>1092</v>
      </c>
    </row>
    <row r="96" spans="1:2" x14ac:dyDescent="0.3">
      <c r="A96" s="21" t="s">
        <v>1045</v>
      </c>
      <c r="B96" s="21" t="s">
        <v>1087</v>
      </c>
    </row>
    <row r="97" spans="1:7" x14ac:dyDescent="0.3">
      <c r="A97" s="21" t="s">
        <v>1042</v>
      </c>
      <c r="B97" t="s">
        <v>11</v>
      </c>
      <c r="C97" t="s">
        <v>9</v>
      </c>
      <c r="D97" t="s">
        <v>6</v>
      </c>
      <c r="E97" t="s">
        <v>13</v>
      </c>
      <c r="F97" t="s">
        <v>10</v>
      </c>
      <c r="G97" t="s">
        <v>1043</v>
      </c>
    </row>
    <row r="98" spans="1:7" x14ac:dyDescent="0.3">
      <c r="A98" s="22" t="s">
        <v>1002</v>
      </c>
    </row>
    <row r="99" spans="1:7" x14ac:dyDescent="0.3">
      <c r="A99" s="31" t="s">
        <v>20</v>
      </c>
      <c r="B99" s="32">
        <v>891</v>
      </c>
      <c r="C99" s="32">
        <v>1332</v>
      </c>
      <c r="D99" s="32">
        <v>1282</v>
      </c>
      <c r="E99" s="32">
        <v>739</v>
      </c>
      <c r="F99" s="32">
        <v>560</v>
      </c>
      <c r="G99" s="32">
        <v>4804</v>
      </c>
    </row>
    <row r="100" spans="1:7" x14ac:dyDescent="0.3">
      <c r="A100" s="31" t="s">
        <v>12</v>
      </c>
      <c r="B100" s="32">
        <v>1991</v>
      </c>
      <c r="C100" s="32">
        <v>1886</v>
      </c>
      <c r="D100" s="32">
        <v>1206</v>
      </c>
      <c r="E100" s="32">
        <v>884</v>
      </c>
      <c r="F100" s="32">
        <v>1722</v>
      </c>
      <c r="G100" s="32">
        <v>7689</v>
      </c>
    </row>
    <row r="101" spans="1:7" x14ac:dyDescent="0.3">
      <c r="A101" s="31" t="s">
        <v>8</v>
      </c>
      <c r="B101" s="32">
        <v>1163</v>
      </c>
      <c r="C101" s="32">
        <v>1180</v>
      </c>
      <c r="D101" s="32">
        <v>1616</v>
      </c>
      <c r="E101" s="32">
        <v>1043</v>
      </c>
      <c r="F101" s="32">
        <v>1747</v>
      </c>
      <c r="G101" s="32">
        <v>6749</v>
      </c>
    </row>
    <row r="102" spans="1:7" x14ac:dyDescent="0.3">
      <c r="A102" s="31" t="s">
        <v>16</v>
      </c>
      <c r="B102" s="32">
        <v>1438</v>
      </c>
      <c r="C102" s="32">
        <v>1616</v>
      </c>
      <c r="D102" s="32">
        <v>866</v>
      </c>
      <c r="E102" s="32">
        <v>829</v>
      </c>
      <c r="F102" s="32">
        <v>2070</v>
      </c>
      <c r="G102" s="32">
        <v>6819</v>
      </c>
    </row>
    <row r="103" spans="1:7" x14ac:dyDescent="0.3">
      <c r="A103" s="22" t="s">
        <v>1001</v>
      </c>
    </row>
    <row r="104" spans="1:7" x14ac:dyDescent="0.3">
      <c r="A104" s="31" t="s">
        <v>24</v>
      </c>
      <c r="B104" s="32">
        <v>1233</v>
      </c>
      <c r="C104" s="32">
        <v>223</v>
      </c>
      <c r="D104" s="32">
        <v>1680</v>
      </c>
      <c r="E104" s="32">
        <v>990</v>
      </c>
      <c r="F104" s="32">
        <v>1508</v>
      </c>
      <c r="G104" s="32">
        <v>5634</v>
      </c>
    </row>
    <row r="105" spans="1:7" x14ac:dyDescent="0.3">
      <c r="A105" s="31" t="s">
        <v>15</v>
      </c>
      <c r="B105" s="32">
        <v>1598</v>
      </c>
      <c r="C105" s="32">
        <v>1907</v>
      </c>
      <c r="D105" s="32">
        <v>869</v>
      </c>
      <c r="E105" s="32">
        <v>1426</v>
      </c>
      <c r="F105" s="32">
        <v>1416</v>
      </c>
      <c r="G105" s="32">
        <v>7216</v>
      </c>
    </row>
    <row r="106" spans="1:7" x14ac:dyDescent="0.3">
      <c r="A106" s="31" t="s">
        <v>5</v>
      </c>
      <c r="B106" s="32">
        <v>900</v>
      </c>
      <c r="C106" s="32">
        <v>1016</v>
      </c>
      <c r="D106" s="32">
        <v>960</v>
      </c>
      <c r="E106" s="32">
        <v>940</v>
      </c>
      <c r="F106" s="32">
        <v>1193</v>
      </c>
      <c r="G106" s="32">
        <v>5009</v>
      </c>
    </row>
    <row r="107" spans="1:7" x14ac:dyDescent="0.3">
      <c r="A107" s="31" t="s">
        <v>18</v>
      </c>
      <c r="B107" s="32">
        <v>900</v>
      </c>
      <c r="C107" s="32">
        <v>1470</v>
      </c>
      <c r="D107" s="32">
        <v>1617</v>
      </c>
      <c r="E107" s="32">
        <v>1314</v>
      </c>
      <c r="F107" s="32">
        <v>941</v>
      </c>
      <c r="G107" s="32">
        <v>6242</v>
      </c>
    </row>
    <row r="108" spans="1:7" x14ac:dyDescent="0.3">
      <c r="A108" s="31" t="s">
        <v>14</v>
      </c>
      <c r="B108" s="32">
        <v>1255</v>
      </c>
      <c r="C108" s="32">
        <v>516</v>
      </c>
      <c r="D108" s="32">
        <v>1874</v>
      </c>
      <c r="E108" s="32">
        <v>1863</v>
      </c>
      <c r="F108" s="32">
        <v>1722</v>
      </c>
      <c r="G108" s="32">
        <v>7230</v>
      </c>
    </row>
    <row r="109" spans="1:7" x14ac:dyDescent="0.3">
      <c r="A109" s="31" t="s">
        <v>19</v>
      </c>
      <c r="B109" s="32">
        <v>1138</v>
      </c>
      <c r="C109" s="32">
        <v>1898</v>
      </c>
      <c r="D109" s="32">
        <v>1482</v>
      </c>
      <c r="E109" s="32">
        <v>846</v>
      </c>
      <c r="F109" s="32">
        <v>1154</v>
      </c>
      <c r="G109" s="32">
        <v>6518</v>
      </c>
    </row>
    <row r="110" spans="1:7" x14ac:dyDescent="0.3">
      <c r="A110" s="22" t="s">
        <v>1000</v>
      </c>
    </row>
    <row r="111" spans="1:7" x14ac:dyDescent="0.3">
      <c r="A111" s="31" t="s">
        <v>17</v>
      </c>
      <c r="B111" s="32">
        <v>1655</v>
      </c>
      <c r="C111" s="32">
        <v>805</v>
      </c>
      <c r="D111" s="32">
        <v>2263</v>
      </c>
      <c r="E111" s="32">
        <v>987</v>
      </c>
      <c r="F111" s="32">
        <v>1075</v>
      </c>
      <c r="G111" s="32">
        <v>6785</v>
      </c>
    </row>
    <row r="112" spans="1:7" x14ac:dyDescent="0.3">
      <c r="A112" s="31" t="s">
        <v>23</v>
      </c>
      <c r="B112" s="32">
        <v>1104</v>
      </c>
      <c r="C112" s="32">
        <v>2280</v>
      </c>
      <c r="D112" s="32">
        <v>1445</v>
      </c>
      <c r="E112" s="32">
        <v>1722</v>
      </c>
      <c r="F112" s="32">
        <v>1196</v>
      </c>
      <c r="G112" s="32">
        <v>7747</v>
      </c>
    </row>
    <row r="113" spans="1:7" x14ac:dyDescent="0.3">
      <c r="A113" s="31" t="s">
        <v>7</v>
      </c>
      <c r="B113" s="32">
        <v>372</v>
      </c>
      <c r="C113" s="32">
        <v>1818</v>
      </c>
      <c r="D113" s="32">
        <v>1346</v>
      </c>
      <c r="E113" s="32">
        <v>1156</v>
      </c>
      <c r="F113" s="32">
        <v>1484</v>
      </c>
      <c r="G113" s="32">
        <v>6176</v>
      </c>
    </row>
    <row r="114" spans="1:7" x14ac:dyDescent="0.3">
      <c r="A114" s="31" t="s">
        <v>22</v>
      </c>
      <c r="B114" s="32">
        <v>1415</v>
      </c>
      <c r="C114" s="32">
        <v>1271</v>
      </c>
      <c r="D114" s="32">
        <v>1214</v>
      </c>
      <c r="E114" s="32">
        <v>1135</v>
      </c>
      <c r="F114" s="32">
        <v>1566</v>
      </c>
      <c r="G114" s="32">
        <v>6601</v>
      </c>
    </row>
    <row r="115" spans="1:7" x14ac:dyDescent="0.3">
      <c r="A115" s="31" t="s">
        <v>21</v>
      </c>
      <c r="B115" s="32">
        <v>1362</v>
      </c>
      <c r="C115" s="32">
        <v>1363</v>
      </c>
      <c r="D115" s="32">
        <v>1152</v>
      </c>
      <c r="E115" s="32">
        <v>777</v>
      </c>
      <c r="F115" s="32">
        <v>750</v>
      </c>
      <c r="G115" s="3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7AFEE-81B7-4DF9-AB06-342C77E08608}">
  <dimension ref="B1:AB43"/>
  <sheetViews>
    <sheetView tabSelected="1" topLeftCell="B1" zoomScale="70" zoomScaleNormal="70" workbookViewId="0">
      <selection activeCell="P50" sqref="P50"/>
    </sheetView>
  </sheetViews>
  <sheetFormatPr defaultRowHeight="14.4" x14ac:dyDescent="0.3"/>
  <cols>
    <col min="1" max="1" width="2.296875" style="20" customWidth="1"/>
    <col min="2" max="15" width="8.796875" style="20"/>
    <col min="16" max="16" width="16.8984375" style="20" customWidth="1"/>
    <col min="17" max="18" width="8.796875" style="20"/>
    <col min="19" max="19" width="13.5" style="20" customWidth="1"/>
    <col min="20" max="20" width="13.796875" style="20" customWidth="1"/>
    <col min="21" max="21" width="11.796875" style="20" customWidth="1"/>
    <col min="22" max="22" width="10.5" style="20" customWidth="1"/>
    <col min="23" max="25" width="8.796875" style="20"/>
    <col min="26" max="26" width="14.8984375" style="20" customWidth="1"/>
    <col min="27" max="16384" width="8.796875" style="20"/>
  </cols>
  <sheetData>
    <row r="1" spans="2:28" x14ac:dyDescent="0.3">
      <c r="B1" s="45" t="s">
        <v>1101</v>
      </c>
      <c r="C1" s="45"/>
      <c r="D1" s="45"/>
      <c r="E1" s="45"/>
      <c r="F1" s="45"/>
      <c r="G1" s="45"/>
      <c r="H1" s="45"/>
      <c r="I1" s="45"/>
      <c r="J1" s="45"/>
      <c r="K1" s="45"/>
      <c r="L1" s="45"/>
      <c r="M1" s="45"/>
      <c r="N1" s="45"/>
      <c r="O1" s="45"/>
      <c r="P1" s="45"/>
      <c r="Q1" s="45"/>
      <c r="R1" s="45"/>
      <c r="S1" s="45"/>
      <c r="T1" s="45"/>
      <c r="U1" s="45"/>
      <c r="V1" s="45"/>
      <c r="W1" s="45"/>
      <c r="X1" s="45"/>
      <c r="Y1" s="45"/>
      <c r="Z1" s="45"/>
      <c r="AA1" s="45"/>
      <c r="AB1" s="45"/>
    </row>
    <row r="2" spans="2:28" ht="14.4" customHeight="1" x14ac:dyDescent="0.3">
      <c r="B2" s="45"/>
      <c r="C2" s="45"/>
      <c r="D2" s="45"/>
      <c r="E2" s="45"/>
      <c r="F2" s="45"/>
      <c r="G2" s="45"/>
      <c r="H2" s="45"/>
      <c r="I2" s="45"/>
      <c r="J2" s="45"/>
      <c r="K2" s="45"/>
      <c r="L2" s="45"/>
      <c r="M2" s="45"/>
      <c r="N2" s="45"/>
      <c r="O2" s="45"/>
      <c r="P2" s="45"/>
      <c r="Q2" s="45"/>
      <c r="R2" s="45"/>
      <c r="S2" s="45"/>
      <c r="T2" s="45"/>
      <c r="U2" s="45"/>
      <c r="V2" s="45"/>
      <c r="W2" s="45"/>
      <c r="X2" s="45"/>
      <c r="Y2" s="45"/>
      <c r="Z2" s="45"/>
      <c r="AA2" s="45"/>
      <c r="AB2" s="45"/>
    </row>
    <row r="3" spans="2:28" ht="14.4" customHeight="1" x14ac:dyDescent="0.3">
      <c r="B3" s="45"/>
      <c r="C3" s="45"/>
      <c r="D3" s="45"/>
      <c r="E3" s="45"/>
      <c r="F3" s="45"/>
      <c r="G3" s="45"/>
      <c r="H3" s="45"/>
      <c r="I3" s="45"/>
      <c r="J3" s="45"/>
      <c r="K3" s="45"/>
      <c r="L3" s="45"/>
      <c r="M3" s="45"/>
      <c r="N3" s="45"/>
      <c r="O3" s="45"/>
      <c r="P3" s="45"/>
      <c r="Q3" s="45"/>
      <c r="R3" s="45"/>
      <c r="S3" s="45"/>
      <c r="T3" s="45"/>
      <c r="U3" s="45"/>
      <c r="V3" s="45"/>
      <c r="W3" s="45"/>
      <c r="X3" s="45"/>
      <c r="Y3" s="45"/>
      <c r="Z3" s="45"/>
      <c r="AA3" s="45"/>
      <c r="AB3" s="45"/>
    </row>
    <row r="7" spans="2:28" x14ac:dyDescent="0.3">
      <c r="E7" s="26"/>
    </row>
    <row r="10" spans="2:28" x14ac:dyDescent="0.3">
      <c r="G10" s="27"/>
    </row>
    <row r="20" spans="18:26" x14ac:dyDescent="0.3">
      <c r="R20" s="43" t="e" vm="6">
        <f>Pivots!K72</f>
        <v>#VALUE!</v>
      </c>
      <c r="S20" s="43"/>
    </row>
    <row r="21" spans="18:26" x14ac:dyDescent="0.3">
      <c r="R21" s="43"/>
      <c r="S21" s="43"/>
      <c r="U21" s="30" t="s">
        <v>11</v>
      </c>
      <c r="V21" s="30" t="s">
        <v>9</v>
      </c>
      <c r="W21" s="30" t="s">
        <v>6</v>
      </c>
      <c r="X21" s="30" t="s">
        <v>13</v>
      </c>
      <c r="Y21" s="30" t="s">
        <v>10</v>
      </c>
      <c r="Z21" s="30" t="s">
        <v>1043</v>
      </c>
    </row>
    <row r="22" spans="18:26" x14ac:dyDescent="0.3">
      <c r="R22" s="43"/>
      <c r="S22" s="43"/>
      <c r="T22" s="33" t="s">
        <v>1002</v>
      </c>
    </row>
    <row r="23" spans="18:26" x14ac:dyDescent="0.3">
      <c r="R23" s="43"/>
      <c r="S23" s="43"/>
      <c r="T23" s="34" t="s">
        <v>20</v>
      </c>
      <c r="U23" s="35">
        <v>891</v>
      </c>
      <c r="V23" s="35">
        <v>1332</v>
      </c>
      <c r="W23" s="35">
        <v>1282</v>
      </c>
      <c r="X23" s="35">
        <v>739</v>
      </c>
      <c r="Y23" s="35">
        <v>560</v>
      </c>
      <c r="Z23" s="36">
        <v>4804</v>
      </c>
    </row>
    <row r="24" spans="18:26" x14ac:dyDescent="0.3">
      <c r="R24" s="43"/>
      <c r="S24" s="43"/>
      <c r="T24" s="34" t="s">
        <v>12</v>
      </c>
      <c r="U24" s="35">
        <v>1991</v>
      </c>
      <c r="V24" s="35">
        <v>1886</v>
      </c>
      <c r="W24" s="35">
        <v>1206</v>
      </c>
      <c r="X24" s="35">
        <v>884</v>
      </c>
      <c r="Y24" s="35">
        <v>1722</v>
      </c>
      <c r="Z24" s="36">
        <v>7689</v>
      </c>
    </row>
    <row r="25" spans="18:26" x14ac:dyDescent="0.3">
      <c r="R25" s="43"/>
      <c r="S25" s="43"/>
      <c r="T25" s="34" t="s">
        <v>8</v>
      </c>
      <c r="U25" s="35">
        <v>1163</v>
      </c>
      <c r="V25" s="35">
        <v>1180</v>
      </c>
      <c r="W25" s="35">
        <v>1616</v>
      </c>
      <c r="X25" s="35">
        <v>1043</v>
      </c>
      <c r="Y25" s="35">
        <v>1747</v>
      </c>
      <c r="Z25" s="36">
        <v>6749</v>
      </c>
    </row>
    <row r="26" spans="18:26" x14ac:dyDescent="0.3">
      <c r="T26" s="34" t="s">
        <v>16</v>
      </c>
      <c r="U26" s="35">
        <v>1438</v>
      </c>
      <c r="V26" s="35">
        <v>1616</v>
      </c>
      <c r="W26" s="35">
        <v>866</v>
      </c>
      <c r="X26" s="35">
        <v>829</v>
      </c>
      <c r="Y26" s="35">
        <v>2070</v>
      </c>
      <c r="Z26" s="36">
        <v>6819</v>
      </c>
    </row>
    <row r="27" spans="18:26" x14ac:dyDescent="0.3">
      <c r="T27" s="33" t="s">
        <v>1001</v>
      </c>
    </row>
    <row r="28" spans="18:26" x14ac:dyDescent="0.3">
      <c r="R28" s="43" t="str">
        <f>Pivots!K68</f>
        <v>% of calls:20%</v>
      </c>
      <c r="S28" s="43"/>
      <c r="T28" s="34" t="s">
        <v>24</v>
      </c>
      <c r="U28" s="35">
        <v>1233</v>
      </c>
      <c r="V28" s="35">
        <v>223</v>
      </c>
      <c r="W28" s="35">
        <v>1680</v>
      </c>
      <c r="X28" s="35">
        <v>990</v>
      </c>
      <c r="Y28" s="35">
        <v>1508</v>
      </c>
      <c r="Z28" s="36">
        <v>5634</v>
      </c>
    </row>
    <row r="29" spans="18:26" x14ac:dyDescent="0.3">
      <c r="T29" s="34" t="s">
        <v>15</v>
      </c>
      <c r="U29" s="35">
        <v>1598</v>
      </c>
      <c r="V29" s="35">
        <v>1907</v>
      </c>
      <c r="W29" s="35">
        <v>869</v>
      </c>
      <c r="X29" s="35">
        <v>1426</v>
      </c>
      <c r="Y29" s="35">
        <v>1416</v>
      </c>
      <c r="Z29" s="36">
        <v>7216</v>
      </c>
    </row>
    <row r="30" spans="18:26" x14ac:dyDescent="0.3">
      <c r="R30" s="43" t="str">
        <f>Pivots!K69</f>
        <v>Call rank:3</v>
      </c>
      <c r="S30" s="43"/>
      <c r="T30" s="34" t="s">
        <v>5</v>
      </c>
      <c r="U30" s="35">
        <v>900</v>
      </c>
      <c r="V30" s="35">
        <v>1016</v>
      </c>
      <c r="W30" s="35">
        <v>960</v>
      </c>
      <c r="X30" s="35">
        <v>940</v>
      </c>
      <c r="Y30" s="35">
        <v>1193</v>
      </c>
      <c r="Z30" s="36">
        <v>5009</v>
      </c>
    </row>
    <row r="31" spans="18:26" x14ac:dyDescent="0.3">
      <c r="R31" s="43"/>
      <c r="S31" s="43"/>
      <c r="T31" s="34" t="s">
        <v>18</v>
      </c>
      <c r="U31" s="35">
        <v>900</v>
      </c>
      <c r="V31" s="35">
        <v>1470</v>
      </c>
      <c r="W31" s="35">
        <v>1617</v>
      </c>
      <c r="X31" s="35">
        <v>1314</v>
      </c>
      <c r="Y31" s="35">
        <v>941</v>
      </c>
      <c r="Z31" s="36">
        <v>6242</v>
      </c>
    </row>
    <row r="32" spans="18:26" x14ac:dyDescent="0.3">
      <c r="R32" s="43" t="str">
        <f>Pivots!K70</f>
        <v>Amount rank:3</v>
      </c>
      <c r="S32" s="43"/>
      <c r="T32" s="34" t="s">
        <v>14</v>
      </c>
      <c r="U32" s="35">
        <v>1255</v>
      </c>
      <c r="V32" s="35">
        <v>516</v>
      </c>
      <c r="W32" s="35">
        <v>1874</v>
      </c>
      <c r="X32" s="35">
        <v>1863</v>
      </c>
      <c r="Y32" s="35">
        <v>1722</v>
      </c>
      <c r="Z32" s="36">
        <v>7230</v>
      </c>
    </row>
    <row r="33" spans="18:26" x14ac:dyDescent="0.3">
      <c r="R33" s="41"/>
      <c r="S33" s="41"/>
      <c r="T33" s="34" t="s">
        <v>19</v>
      </c>
      <c r="U33" s="35">
        <v>1138</v>
      </c>
      <c r="V33" s="35">
        <v>1898</v>
      </c>
      <c r="W33" s="35">
        <v>1482</v>
      </c>
      <c r="X33" s="35">
        <v>846</v>
      </c>
      <c r="Y33" s="35">
        <v>1154</v>
      </c>
      <c r="Z33" s="36">
        <v>6518</v>
      </c>
    </row>
    <row r="34" spans="18:26" x14ac:dyDescent="0.3">
      <c r="R34" s="41"/>
      <c r="S34" s="41"/>
      <c r="T34" s="33" t="s">
        <v>1000</v>
      </c>
    </row>
    <row r="35" spans="18:26" x14ac:dyDescent="0.3">
      <c r="R35" s="41"/>
      <c r="S35" s="41"/>
      <c r="T35" s="34" t="s">
        <v>17</v>
      </c>
      <c r="U35" s="35">
        <v>1655</v>
      </c>
      <c r="V35" s="35">
        <v>805</v>
      </c>
      <c r="W35" s="35">
        <v>2263</v>
      </c>
      <c r="X35" s="35">
        <v>987</v>
      </c>
      <c r="Y35" s="35">
        <v>1075</v>
      </c>
      <c r="Z35" s="36">
        <v>6785</v>
      </c>
    </row>
    <row r="36" spans="18:26" x14ac:dyDescent="0.3">
      <c r="T36" s="34" t="s">
        <v>23</v>
      </c>
      <c r="U36" s="35">
        <v>1104</v>
      </c>
      <c r="V36" s="35">
        <v>2280</v>
      </c>
      <c r="W36" s="35">
        <v>1445</v>
      </c>
      <c r="X36" s="35">
        <v>1722</v>
      </c>
      <c r="Y36" s="35">
        <v>1196</v>
      </c>
      <c r="Z36" s="36">
        <v>7747</v>
      </c>
    </row>
    <row r="37" spans="18:26" x14ac:dyDescent="0.3">
      <c r="T37" s="34" t="s">
        <v>7</v>
      </c>
      <c r="U37" s="35">
        <v>372</v>
      </c>
      <c r="V37" s="35">
        <v>1818</v>
      </c>
      <c r="W37" s="35">
        <v>1346</v>
      </c>
      <c r="X37" s="35">
        <v>1156</v>
      </c>
      <c r="Y37" s="35">
        <v>1484</v>
      </c>
      <c r="Z37" s="36">
        <v>6176</v>
      </c>
    </row>
    <row r="38" spans="18:26" x14ac:dyDescent="0.3">
      <c r="R38" s="44"/>
      <c r="S38" s="44"/>
      <c r="T38" s="34" t="s">
        <v>22</v>
      </c>
      <c r="U38" s="35">
        <v>1415</v>
      </c>
      <c r="V38" s="35">
        <v>1271</v>
      </c>
      <c r="W38" s="35">
        <v>1214</v>
      </c>
      <c r="X38" s="35">
        <v>1135</v>
      </c>
      <c r="Y38" s="35">
        <v>1566</v>
      </c>
      <c r="Z38" s="36">
        <v>6601</v>
      </c>
    </row>
    <row r="39" spans="18:26" x14ac:dyDescent="0.3">
      <c r="R39" s="42"/>
      <c r="S39" s="42"/>
      <c r="T39" s="37" t="s">
        <v>21</v>
      </c>
      <c r="U39" s="38">
        <v>1362</v>
      </c>
      <c r="V39" s="38">
        <v>1363</v>
      </c>
      <c r="W39" s="38">
        <v>1152</v>
      </c>
      <c r="X39" s="38">
        <v>777</v>
      </c>
      <c r="Y39" s="38">
        <v>750</v>
      </c>
      <c r="Z39" s="39">
        <v>5404</v>
      </c>
    </row>
    <row r="40" spans="18:26" x14ac:dyDescent="0.3">
      <c r="R40" s="44"/>
      <c r="S40" s="44"/>
    </row>
    <row r="41" spans="18:26" x14ac:dyDescent="0.3">
      <c r="R41" s="42"/>
      <c r="S41" s="42"/>
    </row>
    <row r="42" spans="18:26" x14ac:dyDescent="0.3">
      <c r="R42" s="44"/>
      <c r="S42" s="44"/>
    </row>
    <row r="43" spans="18:26" x14ac:dyDescent="0.3">
      <c r="R43" s="44"/>
      <c r="S43" s="44"/>
    </row>
  </sheetData>
  <mergeCells count="10">
    <mergeCell ref="B1:AB3"/>
    <mergeCell ref="R20:S25"/>
    <mergeCell ref="R28:S28"/>
    <mergeCell ref="R31:S31"/>
    <mergeCell ref="R30:S30"/>
    <mergeCell ref="R32:S32"/>
    <mergeCell ref="R38:S38"/>
    <mergeCell ref="R40:S40"/>
    <mergeCell ref="R42:S42"/>
    <mergeCell ref="R43:S43"/>
  </mergeCells>
  <conditionalFormatting sqref="U21:Y39">
    <cfRule type="dataBar" priority="1">
      <dataBar>
        <cfvo type="num" val="0"/>
        <cfvo type="formula" val="MAX($U$23:$Y$39)*2"/>
        <color theme="1"/>
      </dataBar>
      <extLst>
        <ext xmlns:x14="http://schemas.microsoft.com/office/spreadsheetml/2009/9/main" uri="{B025F937-C7B1-47D3-B67F-A62EFF666E3E}">
          <x14:id>{3DB16738-A880-438E-80B4-589EC736ED61}</x14:id>
        </ext>
      </extLst>
    </cfRule>
  </conditionalFormatting>
  <conditionalFormatting sqref="AB21">
    <cfRule type="expression" dxfId="0" priority="6">
      <formula>$U$21:$Y$21=$A$59</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DB16738-A880-438E-80B4-589EC736ED61}">
            <x14:dataBar minLength="0" maxLength="100" border="1" negativeBarBorderColorSameAsPositive="0">
              <x14:cfvo type="num">
                <xm:f>0</xm:f>
              </x14:cfvo>
              <x14:cfvo type="formula">
                <xm:f>MAX($U$23:$Y$39)*2</xm:f>
              </x14:cfvo>
              <x14:borderColor theme="0"/>
              <x14:negativeFillColor rgb="FFFF0000"/>
              <x14:negativeBorderColor rgb="FFFF0000"/>
              <x14:axisColor rgb="FF000000"/>
            </x14:dataBar>
          </x14:cfRule>
          <x14:cfRule type="expression" priority="2" id="{F6D2063A-7EC2-4E92-96A6-826213B9280E}">
            <xm:f>U$21=Pivots!$A$59</xm:f>
            <x14:dxf>
              <fill>
                <patternFill>
                  <fgColor theme="8" tint="0.59996337778862885"/>
                  <bgColor theme="8" tint="0.59996337778862885"/>
                </patternFill>
              </fill>
              <border>
                <left style="thin">
                  <color theme="1"/>
                </left>
                <right style="thin">
                  <color theme="1"/>
                </right>
                <vertical/>
                <horizontal/>
              </border>
            </x14:dxf>
          </x14:cfRule>
          <xm:sqref>U21:Y39</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D14401B-C145-4419-A7AB-E97622617F69}">
  <ds:schemaRefs/>
</ds:datastoreItem>
</file>

<file path=customXml/itemProps2.xml><?xml version="1.0" encoding="utf-8"?>
<ds:datastoreItem xmlns:ds="http://schemas.openxmlformats.org/officeDocument/2006/customXml" ds:itemID="{10BE79F9-6E92-4224-8780-83A12166BD83}">
  <ds:schemaRefs/>
</ds:datastoreItem>
</file>

<file path=customXml/itemProps3.xml><?xml version="1.0" encoding="utf-8"?>
<ds:datastoreItem xmlns:ds="http://schemas.openxmlformats.org/officeDocument/2006/customXml" ds:itemID="{F232BCA8-3E1E-40D9-87A5-F94701635213}">
  <ds:schemaRefs/>
</ds:datastoreItem>
</file>

<file path=customXml/itemProps4.xml><?xml version="1.0" encoding="utf-8"?>
<ds:datastoreItem xmlns:ds="http://schemas.openxmlformats.org/officeDocument/2006/customXml" ds:itemID="{AA1D2A87-58F3-4B12-A7E6-C24FC2F6575F}">
  <ds:schemaRefs/>
</ds:datastoreItem>
</file>

<file path=customXml/itemProps5.xml><?xml version="1.0" encoding="utf-8"?>
<ds:datastoreItem xmlns:ds="http://schemas.openxmlformats.org/officeDocument/2006/customXml" ds:itemID="{B153CA09-679A-412A-9F0F-7E82F31CF379}">
  <ds:schemaRefs/>
</ds:datastoreItem>
</file>

<file path=customXml/itemProps6.xml><?xml version="1.0" encoding="utf-8"?>
<ds:datastoreItem xmlns:ds="http://schemas.openxmlformats.org/officeDocument/2006/customXml" ds:itemID="{B99911E2-9368-4FF3-AC88-F0D9032427B1}">
  <ds:schemaRefs/>
</ds:datastoreItem>
</file>

<file path=customXml/itemProps7.xml><?xml version="1.0" encoding="utf-8"?>
<ds:datastoreItem xmlns:ds="http://schemas.openxmlformats.org/officeDocument/2006/customXml" ds:itemID="{74315593-5D8F-4F66-8BC6-ECEBD04DDFE5}">
  <ds:schemaRefs/>
</ds:datastoreItem>
</file>

<file path=customXml/itemProps8.xml><?xml version="1.0" encoding="utf-8"?>
<ds:datastoreItem xmlns:ds="http://schemas.openxmlformats.org/officeDocument/2006/customXml" ds:itemID="{E4A1E831-B87E-46AB-BF6C-D36988488B43}">
  <ds:schemaRefs/>
</ds:datastoreItem>
</file>

<file path=customXml/itemProps9.xml><?xml version="1.0" encoding="utf-8"?>
<ds:datastoreItem xmlns:ds="http://schemas.openxmlformats.org/officeDocument/2006/customXml" ds:itemID="{C516F754-E268-4488-BD60-BE7C1913C50B}">
  <ds:schemaRefs/>
</ds:datastoreItem>
</file>

<file path=customXml/itemProps10.xml><?xml version="1.0" encoding="utf-8"?>
<ds:datastoreItem xmlns:ds="http://schemas.openxmlformats.org/officeDocument/2006/customXml" ds:itemID="{156CB54E-3BB1-45AB-807E-3E7B8D382894}">
  <ds:schemaRefs/>
</ds:datastoreItem>
</file>

<file path=customXml/itemProps11.xml><?xml version="1.0" encoding="utf-8"?>
<ds:datastoreItem xmlns:ds="http://schemas.openxmlformats.org/officeDocument/2006/customXml" ds:itemID="{BB16438A-1CF7-4617-A833-5EC702D0BE77}">
  <ds:schemaRefs/>
</ds:datastoreItem>
</file>

<file path=customXml/itemProps12.xml><?xml version="1.0" encoding="utf-8"?>
<ds:datastoreItem xmlns:ds="http://schemas.openxmlformats.org/officeDocument/2006/customXml" ds:itemID="{067C8E5B-F317-4BA2-8B17-DF0955A91BC2}">
  <ds:schemaRefs/>
</ds:datastoreItem>
</file>

<file path=customXml/itemProps13.xml><?xml version="1.0" encoding="utf-8"?>
<ds:datastoreItem xmlns:ds="http://schemas.openxmlformats.org/officeDocument/2006/customXml" ds:itemID="{B8F3F511-DDD6-4BB5-9C60-1F49A82CCCF8}">
  <ds:schemaRefs/>
</ds:datastoreItem>
</file>

<file path=customXml/itemProps14.xml><?xml version="1.0" encoding="utf-8"?>
<ds:datastoreItem xmlns:ds="http://schemas.openxmlformats.org/officeDocument/2006/customXml" ds:itemID="{1BF815B1-0AFA-437A-9BB9-FD58E80AD552}">
  <ds:schemaRefs/>
</ds:datastoreItem>
</file>

<file path=customXml/itemProps15.xml><?xml version="1.0" encoding="utf-8"?>
<ds:datastoreItem xmlns:ds="http://schemas.openxmlformats.org/officeDocument/2006/customXml" ds:itemID="{43AAA470-085D-4900-87A2-F525AC3D0FB7}">
  <ds:schemaRefs/>
</ds:datastoreItem>
</file>

<file path=customXml/itemProps16.xml><?xml version="1.0" encoding="utf-8"?>
<ds:datastoreItem xmlns:ds="http://schemas.openxmlformats.org/officeDocument/2006/customXml" ds:itemID="{B49C4495-40F3-4FA7-A06E-A2E559DC6078}">
  <ds:schemaRefs/>
</ds:datastoreItem>
</file>

<file path=customXml/itemProps17.xml><?xml version="1.0" encoding="utf-8"?>
<ds:datastoreItem xmlns:ds="http://schemas.openxmlformats.org/officeDocument/2006/customXml" ds:itemID="{16483E86-AC3D-4E9A-93CC-02E5466BEBCE}">
  <ds:schemaRefs/>
</ds:datastoreItem>
</file>

<file path=customXml/itemProps18.xml><?xml version="1.0" encoding="utf-8"?>
<ds:datastoreItem xmlns:ds="http://schemas.openxmlformats.org/officeDocument/2006/customXml" ds:itemID="{A484AFF4-D456-480E-9D4B-9E87545426B5}">
  <ds:schemaRefs/>
</ds:datastoreItem>
</file>

<file path=customXml/itemProps19.xml><?xml version="1.0" encoding="utf-8"?>
<ds:datastoreItem xmlns:ds="http://schemas.openxmlformats.org/officeDocument/2006/customXml" ds:itemID="{00974ED9-8D3E-4E2F-8A50-01E40D207966}">
  <ds:schemaRefs/>
</ds:datastoreItem>
</file>

<file path=customXml/itemProps20.xml><?xml version="1.0" encoding="utf-8"?>
<ds:datastoreItem xmlns:ds="http://schemas.openxmlformats.org/officeDocument/2006/customXml" ds:itemID="{95EED643-9793-4137-B9EE-B64BF45D72DB}">
  <ds:schemaRefs/>
</ds:datastoreItem>
</file>

<file path=customXml/itemProps21.xml><?xml version="1.0" encoding="utf-8"?>
<ds:datastoreItem xmlns:ds="http://schemas.openxmlformats.org/officeDocument/2006/customXml" ds:itemID="{8415F8AA-59AF-4D87-9475-E9979B688D11}">
  <ds:schemaRefs/>
</ds:datastoreItem>
</file>

<file path=customXml/itemProps22.xml><?xml version="1.0" encoding="utf-8"?>
<ds:datastoreItem xmlns:ds="http://schemas.openxmlformats.org/officeDocument/2006/customXml" ds:itemID="{5911EA35-79F8-4601-B35E-CC7D692D6251}">
  <ds:schemaRefs/>
</ds:datastoreItem>
</file>

<file path=customXml/itemProps23.xml><?xml version="1.0" encoding="utf-8"?>
<ds:datastoreItem xmlns:ds="http://schemas.openxmlformats.org/officeDocument/2006/customXml" ds:itemID="{BFA26EC9-B096-4B13-BA5A-835DAF11DFB3}">
  <ds:schemaRefs/>
</ds:datastoreItem>
</file>

<file path=customXml/itemProps24.xml><?xml version="1.0" encoding="utf-8"?>
<ds:datastoreItem xmlns:ds="http://schemas.openxmlformats.org/officeDocument/2006/customXml" ds:itemID="{B7D8C397-6D3A-47C7-ABD8-BADA8364414E}">
  <ds:schemaRefs/>
</ds:datastoreItem>
</file>

<file path=customXml/itemProps25.xml><?xml version="1.0" encoding="utf-8"?>
<ds:datastoreItem xmlns:ds="http://schemas.openxmlformats.org/officeDocument/2006/customXml" ds:itemID="{F7630FBE-A6C5-47D4-A842-676B4A5F10A1}">
  <ds:schemaRefs/>
</ds:datastoreItem>
</file>

<file path=customXml/itemProps26.xml><?xml version="1.0" encoding="utf-8"?>
<ds:datastoreItem xmlns:ds="http://schemas.openxmlformats.org/officeDocument/2006/customXml" ds:itemID="{9FEE46FC-EB5A-4531-B0A7-9ECC47C96B73}">
  <ds:schemaRefs/>
</ds:datastoreItem>
</file>

<file path=customXml/itemProps27.xml><?xml version="1.0" encoding="utf-8"?>
<ds:datastoreItem xmlns:ds="http://schemas.openxmlformats.org/officeDocument/2006/customXml" ds:itemID="{C1B52779-F70F-4877-9111-80166A99A528}">
  <ds:schemaRefs/>
</ds:datastoreItem>
</file>

<file path=customXml/itemProps28.xml><?xml version="1.0" encoding="utf-8"?>
<ds:datastoreItem xmlns:ds="http://schemas.openxmlformats.org/officeDocument/2006/customXml" ds:itemID="{C35B99DA-B225-4867-9E45-39CF154664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Call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Sowmiya Suresh</cp:lastModifiedBy>
  <dcterms:created xsi:type="dcterms:W3CDTF">2021-03-14T20:21:32Z</dcterms:created>
  <dcterms:modified xsi:type="dcterms:W3CDTF">2026-07-24T13:44:34Z</dcterms:modified>
</cp:coreProperties>
</file>